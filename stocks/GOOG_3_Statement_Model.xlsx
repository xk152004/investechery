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IS" sheetId="2" state="visible" r:id="rId4"/>
    <sheet name="BS" sheetId="3" state="visible" r:id="rId5"/>
    <sheet name="CF" sheetId="4" state="visible" r:id="rId6"/>
    <sheet name="Schedules" sheetId="5" state="visible" r:id="rId7"/>
    <sheet name="Check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<sst xmlns="http://schemas.openxmlformats.org/spreadsheetml/2006/main" count="345" uniqueCount="253">
  <si>
    <t xml:space="preserve">ALPHABET INC. (NASDAQ: GOOG / GOOGL) — INTEGRATED 3-STATEMENT MODEL</t>
  </si>
  <si>
    <t xml:space="preserve">Assumptions &amp; Scenario Drivers</t>
  </si>
  <si>
    <t xml:space="preserve">$ in millions unless noted. Fiscal year = calendar year. Historicals (FY2021A-FY2025A) are hardcoded from Alphabet 10-K filings; all FY2026E-FY2030E cells are formulas.</t>
  </si>
  <si>
    <t xml:space="preserve">SCENARIO TOGGLE  (1 = Base, 2 = Upside, 3 = Downside)</t>
  </si>
  <si>
    <t xml:space="preserve">Active scenario</t>
  </si>
  <si>
    <t xml:space="preserve">FY2021A</t>
  </si>
  <si>
    <t xml:space="preserve">FY2022A</t>
  </si>
  <si>
    <t xml:space="preserve">FY2023A</t>
  </si>
  <si>
    <t xml:space="preserve">FY2024A</t>
  </si>
  <si>
    <t xml:space="preserve">FY2025A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</si>
  <si>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</si>
  <si>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</si>
  <si>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</si>
  <si>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</si>
  <si>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</si>
  <si>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1.  REVENUE GROWTH  (% y/y)</t>
  </si>
  <si>
    <t xml:space="preserve">    Base case</t>
  </si>
  <si>
    <t xml:space="preserve">    Upside case</t>
  </si>
  <si>
    <t xml:space="preserve">    Downside case</t>
  </si>
  <si>
    <t xml:space="preserve">    LIVE (selected scenario)</t>
  </si>
  <si>
    <t xml:space="preserve">2.  COST OF REVENUES EX-DEPRECIATION  (% of revenue)</t>
  </si>
  <si>
    <t xml:space="preserve">3.  RESEARCH &amp; DEVELOPMENT EX-DEPRECIATION  (% of revenue)</t>
  </si>
  <si>
    <t xml:space="preserve">4.  SALES &amp; MARKETING  (% of revenue)</t>
  </si>
  <si>
    <t xml:space="preserve">5.  GENERAL &amp; ADMINISTRATIVE  (% of revenue)</t>
  </si>
  <si>
    <t xml:space="preserve">6.  DEPRECIATION  (% of beginning net PP&amp;E)</t>
  </si>
  <si>
    <t xml:space="preserve">7.  CAPITAL EXPENDITURE  ($m)</t>
  </si>
  <si>
    <t xml:space="preserve">8.  EFFECTIVE TAX RATE  (%)</t>
  </si>
  <si>
    <t xml:space="preserve">OTHER OPERATING &amp; NON-OPERATING DRIVERS</t>
  </si>
  <si>
    <t xml:space="preserve">    Depreciation allocated to cost of revenues (%)</t>
  </si>
  <si>
    <t xml:space="preserve">    Stock-based compensation (% of revenue)</t>
  </si>
  <si>
    <t xml:space="preserve">    Interest income rate (% of beg. cash + marketable securities)</t>
  </si>
  <si>
    <t xml:space="preserve">    Interest expense rate (% of beg. long-term debt)</t>
  </si>
  <si>
    <t xml:space="preserve">    Other non-operating income — securities gains ($m)  [see note 2]</t>
  </si>
  <si>
    <t xml:space="preserve">WORKING CAPITAL</t>
  </si>
  <si>
    <t xml:space="preserve">    Days sales outstanding (on revenue)</t>
  </si>
  <si>
    <t xml:space="preserve">    Days payable outstanding (on cost of revenues)</t>
  </si>
  <si>
    <t xml:space="preserve">    Inventory (% of cost of revenues)  [TPU systems]</t>
  </si>
  <si>
    <t xml:space="preserve">    Other current assets (% of revenue)</t>
  </si>
  <si>
    <t xml:space="preserve">    Accrued compensation and benefits (% of revenue)</t>
  </si>
  <si>
    <t xml:space="preserve">    Accrued expenses and other current liabilities (% of revenue)</t>
  </si>
  <si>
    <t xml:space="preserve">    Accrued revenue share (% of revenue)</t>
  </si>
  <si>
    <t xml:space="preserve">    Deferred revenue (% of revenue)</t>
  </si>
  <si>
    <t xml:space="preserve">    Operating lease assets (% of revenue)</t>
  </si>
  <si>
    <t xml:space="preserve">    Operating lease liabilities (% of revenue)</t>
  </si>
  <si>
    <t xml:space="preserve">    Other non-current assets (% of revenue)</t>
  </si>
  <si>
    <t xml:space="preserve">OTHER BALANCE SHEET</t>
  </si>
  <si>
    <t xml:space="preserve">    Marketable securities — closing balance ($m)</t>
  </si>
  <si>
    <t xml:space="preserve">    Non-marketable securities — net purchases ($m)</t>
  </si>
  <si>
    <t xml:space="preserve">    Acquisitions / goodwill additions ($m)</t>
  </si>
  <si>
    <t xml:space="preserve">    Deferred income taxes, net asset — closing balance ($m)</t>
  </si>
  <si>
    <t xml:space="preserve">    Income taxes payable, non-current — closing balance ($m)</t>
  </si>
  <si>
    <t xml:space="preserve">    Other long-term liabilities — closing balance ($m)</t>
  </si>
  <si>
    <t xml:space="preserve">FINANCING</t>
  </si>
  <si>
    <t xml:space="preserve">    Long-term debt issuance ($m)</t>
  </si>
  <si>
    <t xml:space="preserve">    Long-term debt repayment ($m)</t>
  </si>
  <si>
    <t xml:space="preserve">    Common equity issuance ($m)</t>
  </si>
  <si>
    <t xml:space="preserve">    Preferred equity issuance ($m)</t>
  </si>
  <si>
    <t xml:space="preserve">    Net payments related to stock-based award activities ($m)</t>
  </si>
  <si>
    <t xml:space="preserve">    Share repurchases ($m)</t>
  </si>
  <si>
    <t xml:space="preserve">    Common dividend per share ($)</t>
  </si>
  <si>
    <t xml:space="preserve">    Preferred dividends ($m)</t>
  </si>
  <si>
    <t xml:space="preserve">    Diluted share count growth (%)</t>
  </si>
  <si>
    <t xml:space="preserve">NOTES &amp; SOURCES</t>
  </si>
  <si>
    <t xml:space="preserve">1.  Historicals FY2021-FY2025 are as reported in the FY2023 10-K (filed 2024-01-31) and FY2025 10-K (filed 2026-02-05). Every historical subtotal was re-footed against the filed statements.</t>
  </si>
  <si>
    <t xml:space="preserve">2.  Securities gains are set to ZERO in all projected years. Reported FY2026 earnings will include the $135,699m of H1 2026 gains on debt and equity securities (Q2 2026 10-Q), which are non-cash, non-recurring and unforecastable; excluding them makes projected net income a clean read on operating earnings. Switch row 63 on to include them.</t>
  </si>
  <si>
    <t xml:space="preserve">3.  FY2026E is anchored on H1 2026 actuals (Q2 2026 10-Q): revenue $229,692m (+23.1% y/y), capex $80,598m, depreciation $13,586m, LT debt $98,165m, equity raised $49,562m, buybacks $0, inventory $9,991m.</t>
  </si>
  <si>
    <t xml:space="preserve">4.  Capex FY2026E of $200,000m is the midpoint of management's $195-205bn guidance (Q2 2026 earnings call). Management guided capex to 'increase significantly in 2027' without quantifying it; the FY2027E figures are the analyst's estimate.</t>
  </si>
  <si>
    <t xml:space="preserve">5.  Depreciation is driven off beginning net PP&amp;E. FY2025 actual = 12.4% of beginning net PP&amp;E; the base case ramps to 18.0% by FY2030 as the six-year-life server base built in 2025-2027 matures. This is the single most important assumption in the model.</t>
  </si>
  <si>
    <t xml:space="preserve">6.  Interest income and interest expense are calculated on BEGINNING balances to avoid a circular reference. No iterative calculation is required to open this file.</t>
  </si>
  <si>
    <t xml:space="preserve">7.  Segment detail is not modelled: the user selected a consolidated revenue build. Cost of revenues and R&amp;D are split into an ex-depreciation operating component and an allocated depreciation component so that depreciation pressure is visible in the margin.</t>
  </si>
  <si>
    <t xml:space="preserve">9.  Check 7 (PP&amp;E roll-forward) is applied to projected years only. Reported net PP&amp;E does not roll forward from capex and depreciation alone in the historical years (finance leases, retirements, transfers and business-combination additions also move the balance; the FY2021 gap is $1,517m). The projected roll is exact by construction.</t>
  </si>
  <si>
    <t xml:space="preserve">8.  Simplifications: AOCI is held flat; the mandatory convertible preferred is assumed to remain outstanding through FY2030 (it converts in practice); share repurchases are charged wholly to retained earnings; operating-lease asset and liability movements run through the 'other' working-capital lines.</t>
  </si>
  <si>
    <t xml:space="preserve">ALPHABET INC. — CONSOLIDATED STATEMENTS OF INCOME</t>
  </si>
  <si>
    <t xml:space="preserve">Income Statement</t>
  </si>
  <si>
    <t xml:space="preserve">Revenues</t>
  </si>
  <si>
    <t xml:space="preserve">    Revenue growth %</t>
  </si>
  <si>
    <t xml:space="preserve">Costs and expenses:</t>
  </si>
  <si>
    <t xml:space="preserve">Cost of revenues</t>
  </si>
  <si>
    <t xml:space="preserve">Research and development</t>
  </si>
  <si>
    <t xml:space="preserve">Sales and marketing</t>
  </si>
  <si>
    <t xml:space="preserve">General and administrative</t>
  </si>
  <si>
    <t xml:space="preserve">Total costs and expenses</t>
  </si>
  <si>
    <t xml:space="preserve">Income from operations</t>
  </si>
  <si>
    <t xml:space="preserve">    Operating margin %</t>
  </si>
  <si>
    <t xml:space="preserve">Interest and investment income</t>
  </si>
  <si>
    <t xml:space="preserve">Interest expense</t>
  </si>
  <si>
    <t xml:space="preserve">Other non-operating income (expense), net</t>
  </si>
  <si>
    <t xml:space="preserve">Other income (expense), net</t>
  </si>
  <si>
    <t xml:space="preserve">Income before income taxes</t>
  </si>
  <si>
    <t xml:space="preserve">Provision for income taxes</t>
  </si>
  <si>
    <t xml:space="preserve">    Effective tax rate %</t>
  </si>
  <si>
    <t xml:space="preserve">Net income</t>
  </si>
  <si>
    <t xml:space="preserve">Preferred stock dividends</t>
  </si>
  <si>
    <t xml:space="preserve">Net income available to common stockholders</t>
  </si>
  <si>
    <t xml:space="preserve">Diluted weighted-average shares (m)</t>
  </si>
  <si>
    <t xml:space="preserve">Diluted earnings per share ($)</t>
  </si>
  <si>
    <t xml:space="preserve">Memo: Depreciation of property and equipment</t>
  </si>
  <si>
    <t xml:space="preserve">Memo: EBITDA</t>
  </si>
  <si>
    <t xml:space="preserve">Memo: Stock-based compensation</t>
  </si>
  <si>
    <t xml:space="preserve">ALPHABET INC. — CONSOLIDATED BALANCE SHEETS</t>
  </si>
  <si>
    <t xml:space="preserve">Balance Sheet</t>
  </si>
  <si>
    <t xml:space="preserve">Assets</t>
  </si>
  <si>
    <t xml:space="preserve">Cash and cash equivalents</t>
  </si>
  <si>
    <t xml:space="preserve">Marketable securities</t>
  </si>
  <si>
    <t xml:space="preserve">Accounts receivable, net</t>
  </si>
  <si>
    <t xml:space="preserve">Inventory</t>
  </si>
  <si>
    <t xml:space="preserve">Other current assets</t>
  </si>
  <si>
    <t xml:space="preserve">Total current assets</t>
  </si>
  <si>
    <t xml:space="preserve">Non-marketable securities</t>
  </si>
  <si>
    <t xml:space="preserve">Deferred income taxes, net</t>
  </si>
  <si>
    <t xml:space="preserve">Property and equipment, net</t>
  </si>
  <si>
    <t xml:space="preserve">Operating lease assets</t>
  </si>
  <si>
    <t xml:space="preserve">Goodwill and intangible assets</t>
  </si>
  <si>
    <t xml:space="preserve">Other non-current assets</t>
  </si>
  <si>
    <t xml:space="preserve">Total assets</t>
  </si>
  <si>
    <t xml:space="preserve">Liabilities and Stockholders' Equity</t>
  </si>
  <si>
    <t xml:space="preserve">Accounts payable</t>
  </si>
  <si>
    <t xml:space="preserve">Accrued compensation and benefits</t>
  </si>
  <si>
    <t xml:space="preserve">Accrued expenses and other current liabilities</t>
  </si>
  <si>
    <t xml:space="preserve">Accrued revenue share</t>
  </si>
  <si>
    <t xml:space="preserve">Deferred revenue</t>
  </si>
  <si>
    <t xml:space="preserve">Total current liabilities</t>
  </si>
  <si>
    <t xml:space="preserve">Long-term debt</t>
  </si>
  <si>
    <t xml:space="preserve">Income taxes payable, non-current</t>
  </si>
  <si>
    <t xml:space="preserve">Operating lease liabilities</t>
  </si>
  <si>
    <t xml:space="preserve">Other long-term liabilities</t>
  </si>
  <si>
    <t xml:space="preserve">Total liabilities</t>
  </si>
  <si>
    <t xml:space="preserve">Preferred stock and additional paid-in capital</t>
  </si>
  <si>
    <t xml:space="preserve">Class A/B/C stock and additional paid-in capital</t>
  </si>
  <si>
    <t xml:space="preserve">Accumulated other comprehensive income (loss)</t>
  </si>
  <si>
    <t xml:space="preserve">Retained earnings</t>
  </si>
  <si>
    <t xml:space="preserve">Total stockholders' equity</t>
  </si>
  <si>
    <t xml:space="preserve">Total liabilities and stockholders' equity</t>
  </si>
  <si>
    <t xml:space="preserve">CHECK:  Total assets less total liabilities and equity  (must = 0)</t>
  </si>
  <si>
    <t xml:space="preserve">ALPHABET INC. — CONSOLIDATED STATEMENTS OF CASH FLOWS</t>
  </si>
  <si>
    <t xml:space="preserve">Cash Flow Statement</t>
  </si>
  <si>
    <t xml:space="preserve">Operating activities</t>
  </si>
  <si>
    <t xml:space="preserve">Depreciation of property and equipment</t>
  </si>
  <si>
    <t xml:space="preserve">Stock-based compensation expense</t>
  </si>
  <si>
    <t xml:space="preserve">Deferred income taxes</t>
  </si>
  <si>
    <t xml:space="preserve">(Gain) loss on debt and equity securities, net</t>
  </si>
  <si>
    <t xml:space="preserve">Other</t>
  </si>
  <si>
    <t xml:space="preserve">Changes in operating assets and liabilities:</t>
  </si>
  <si>
    <t xml:space="preserve">    Accounts receivable, net</t>
  </si>
  <si>
    <t xml:space="preserve">    Inventory</t>
  </si>
  <si>
    <t xml:space="preserve">    Other assets</t>
  </si>
  <si>
    <t xml:space="preserve">    Accounts payable</t>
  </si>
  <si>
    <t xml:space="preserve">    Accrued compensation and benefits</t>
  </si>
  <si>
    <t xml:space="preserve">    Accrued expenses and other liabilities</t>
  </si>
  <si>
    <t xml:space="preserve">    Accrued revenue share</t>
  </si>
  <si>
    <t xml:space="preserve">    Deferred revenue</t>
  </si>
  <si>
    <t xml:space="preserve">    Income taxes, net</t>
  </si>
  <si>
    <t xml:space="preserve">Net cash provided by operating activities</t>
  </si>
  <si>
    <t xml:space="preserve">Investing activities</t>
  </si>
  <si>
    <t xml:space="preserve">Purchases of property and equipment</t>
  </si>
  <si>
    <t xml:space="preserve">Marketable securities, net of maturities and sales</t>
  </si>
  <si>
    <t xml:space="preserve">Non-marketable securities, net of maturities and sales</t>
  </si>
  <si>
    <t xml:space="preserve">Acquisitions, net of cash acquired, and intangibles</t>
  </si>
  <si>
    <t xml:space="preserve">Other investing activities</t>
  </si>
  <si>
    <t xml:space="preserve">Net cash used in investing activities</t>
  </si>
  <si>
    <t xml:space="preserve">Financing activities</t>
  </si>
  <si>
    <t xml:space="preserve">Net payments related to stock-based award activities</t>
  </si>
  <si>
    <t xml:space="preserve">Repurchases of stock</t>
  </si>
  <si>
    <t xml:space="preserve">Common dividend payments</t>
  </si>
  <si>
    <t xml:space="preserve">Preferred dividend payments</t>
  </si>
  <si>
    <t xml:space="preserve">Proceeds from issuance of debt, net of costs</t>
  </si>
  <si>
    <t xml:space="preserve">Repayments of debt</t>
  </si>
  <si>
    <t xml:space="preserve">Proceeds from equity issuance, net of costs</t>
  </si>
  <si>
    <t xml:space="preserve">Other financing activities</t>
  </si>
  <si>
    <t xml:space="preserve">Net cash provided by (used in) financing activities</t>
  </si>
  <si>
    <t xml:space="preserve">Effect of exchange rate changes on cash</t>
  </si>
  <si>
    <t xml:space="preserve">Net increase (decrease) in cash and cash equivalents</t>
  </si>
  <si>
    <t xml:space="preserve">Cash and cash equivalents at beginning of period</t>
  </si>
  <si>
    <t xml:space="preserve">Cash and cash equivalents at end of period</t>
  </si>
  <si>
    <t xml:space="preserve">Memo: Free cash flow (CFO less capital expenditure)</t>
  </si>
  <si>
    <t xml:space="preserve">Memo: Free cash flow margin %</t>
  </si>
  <si>
    <t xml:space="preserve">ALPHABET INC. — SUPPORTING SCHEDULES</t>
  </si>
  <si>
    <t xml:space="preserve">PP&amp;E / Depreciation · Debt &amp; Interest · Shares &amp; Dividends · Working Capital</t>
  </si>
  <si>
    <t xml:space="preserve">PROPERTY &amp; EQUIPMENT ROLL-FORWARD</t>
  </si>
  <si>
    <t xml:space="preserve">Beginning net property and equipment</t>
  </si>
  <si>
    <t xml:space="preserve">Depreciation</t>
  </si>
  <si>
    <t xml:space="preserve">Capital expenditure</t>
  </si>
  <si>
    <t xml:space="preserve">Ending net property and equipment</t>
  </si>
  <si>
    <t xml:space="preserve">    Capex as % of revenue</t>
  </si>
  <si>
    <t xml:space="preserve">    Depreciation as % of revenue</t>
  </si>
  <si>
    <t xml:space="preserve">    Depreciation as % of beginning net PP&amp;E</t>
  </si>
  <si>
    <t xml:space="preserve">    Implied average remaining life (years)</t>
  </si>
  <si>
    <t xml:space="preserve">DEBT SCHEDULE &amp; INTEREST</t>
  </si>
  <si>
    <t xml:space="preserve">Beginning long-term debt</t>
  </si>
  <si>
    <t xml:space="preserve">Issuance</t>
  </si>
  <si>
    <t xml:space="preserve">Repayment</t>
  </si>
  <si>
    <t xml:space="preserve">Ending long-term debt</t>
  </si>
  <si>
    <t xml:space="preserve">Interest expense (on beginning debt)</t>
  </si>
  <si>
    <t xml:space="preserve">Beginning cash + marketable securities</t>
  </si>
  <si>
    <t xml:space="preserve">Interest and investment income (on beginning balance)</t>
  </si>
  <si>
    <t xml:space="preserve">Memo: net cash / (net debt)</t>
  </si>
  <si>
    <t xml:space="preserve">SHARES, DIVIDENDS &amp; STOCK-BASED COMPENSATION</t>
  </si>
  <si>
    <t xml:space="preserve">Common dividend per share ($)</t>
  </si>
  <si>
    <t xml:space="preserve">Common dividends paid</t>
  </si>
  <si>
    <t xml:space="preserve">Preferred dividends paid</t>
  </si>
  <si>
    <t xml:space="preserve">Share repurchases</t>
  </si>
  <si>
    <t xml:space="preserve">Net cash payments for SBC award activities</t>
  </si>
  <si>
    <t xml:space="preserve">Common equity issuance</t>
  </si>
  <si>
    <t xml:space="preserve">Preferred equity issuance</t>
  </si>
  <si>
    <t xml:space="preserve">WORKING CAPITAL METRICS (memo)</t>
  </si>
  <si>
    <t xml:space="preserve">Days sales outstanding</t>
  </si>
  <si>
    <t xml:space="preserve">Days payable outstanding</t>
  </si>
  <si>
    <t xml:space="preserve">Inventory as % of cost of revenues</t>
  </si>
  <si>
    <t xml:space="preserve">Net working capital</t>
  </si>
  <si>
    <t xml:space="preserve">ALPHABET INC. — MODEL INTEGRITY CHECKS</t>
  </si>
  <si>
    <t xml:space="preserve">Audit dashboard — every check must read OK</t>
  </si>
  <si>
    <t xml:space="preserve">MASTER STATUS</t>
  </si>
  <si>
    <t xml:space="preserve">1. Balance sheet balances (Assets - L&amp;E)</t>
  </si>
  <si>
    <t xml:space="preserve">2. Cash tie-out (CF ending cash - BS cash)</t>
  </si>
  <si>
    <t xml:space="preserve">3. Net income link (IS net income - CF net income)</t>
  </si>
  <si>
    <t xml:space="preserve">4. Total costs = sum of expense lines</t>
  </si>
  <si>
    <t xml:space="preserve">5. Total assets = current + non-current</t>
  </si>
  <si>
    <t xml:space="preserve">6. Total equity = sum of equity components</t>
  </si>
  <si>
    <t xml:space="preserve">7. PP&amp;E roll-forward (projected years; see note 9)</t>
  </si>
  <si>
    <t xml:space="preserve">8. Debt schedule ties to balance sheet</t>
  </si>
  <si>
    <t xml:space="preserve">9. Depreciation ties to PP&amp;E schedule</t>
  </si>
  <si>
    <t xml:space="preserve">10. SBC in cash flow ties to income statement</t>
  </si>
  <si>
    <t xml:space="preserve">11. Capex in cash flow ties to PP&amp;E schedule</t>
  </si>
  <si>
    <t xml:space="preserve">12. Cash opening balance = prior period close</t>
  </si>
  <si>
    <t xml:space="preserve">13. Retained earnings roll-forward (proj. only)</t>
  </si>
  <si>
    <t xml:space="preserve">14. APIC roll-forward (proj. only)</t>
  </si>
  <si>
    <t xml:space="preserve">15. Preferred stock roll-forward (proj. only)</t>
  </si>
  <si>
    <t xml:space="preserve">FORMULA INTEGRITY (whole model)</t>
  </si>
  <si>
    <t xml:space="preserve">16. No error values on Income Statement</t>
  </si>
  <si>
    <t xml:space="preserve">17. No error values on Balance Sheet</t>
  </si>
  <si>
    <t xml:space="preserve">18. No error values on Cash Flow</t>
  </si>
  <si>
    <t xml:space="preserve">19. No error values on Schedules</t>
  </si>
  <si>
    <t xml:space="preserve">20. No error values on Assumptions</t>
  </si>
  <si>
    <t xml:space="preserve">SCENARIO HIERARCHY (driver-level, holds regardless of toggle position)</t>
  </si>
  <si>
    <t xml:space="preserve">21. Revenue growth: Upside &gt; Base &gt; Downside</t>
  </si>
  <si>
    <t xml:space="preserve">22. Cost of revenues %: Upside &lt; Base &lt; Downside</t>
  </si>
  <si>
    <t xml:space="preserve">23. R&amp;D %: Upside &lt; Base &lt; Downside</t>
  </si>
  <si>
    <t xml:space="preserve">24. Sales &amp; marketing %: Upside &lt; Base &lt; Downside</t>
  </si>
  <si>
    <t xml:space="preserve">25. G&amp;A %: Upside &lt; Base &lt; Downside</t>
  </si>
  <si>
    <t xml:space="preserve">26. Depreciation rate: Upside &lt; Base &lt; Downside</t>
  </si>
  <si>
    <t xml:space="preserve">27. Effective tax rate: Upside &lt; Base &lt; Downside</t>
  </si>
  <si>
    <t xml:space="preserve">KEY OUTPUTS (active scenario)</t>
  </si>
  <si>
    <t xml:space="preserve">Revenue</t>
  </si>
  <si>
    <t xml:space="preserve">Revenue growth %</t>
  </si>
  <si>
    <t xml:space="preserve">Operating margin %</t>
  </si>
  <si>
    <t xml:space="preserve">EBITDA</t>
  </si>
  <si>
    <t xml:space="preserve">Diluted EPS ($)</t>
  </si>
  <si>
    <t xml:space="preserve">Cash flow from operations</t>
  </si>
  <si>
    <t xml:space="preserve">Free cash flow</t>
  </si>
  <si>
    <t xml:space="preserve">Free cash flow margin %</t>
  </si>
  <si>
    <t xml:space="preserve">Depreciation as % of revenue</t>
  </si>
  <si>
    <t xml:space="preserve">Net property and equipment</t>
  </si>
  <si>
    <t xml:space="preserve">Net cash / (net debt)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</si>
</sst>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#,##0;\(#,##0\)"/>
    <numFmt numFmtId="167" formatCode="0.0"/>
    <numFmt numFmtId="168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0"/>
      <color rgb="FF1F4E79"/>
      <name val="Cambria"/>
      <family val="0"/>
      <charset val="1"/>
    </font>
    <font>
      <i val="true"/>
      <sz val="9"/>
      <color rgb="FF595959"/>
      <name val="Cambria"/>
      <family val="0"/>
      <charset val="1"/>
    </font>
    <font>
      <b val="true"/>
      <sz val="10"/>
      <color rgb="FF000000"/>
      <name val="Cambria"/>
      <family val="0"/>
      <charset val="1"/>
    </font>
    <font>
      <sz val="10"/>
      <color rgb="FF0000FF"/>
      <name val="Cambria"/>
      <family val="0"/>
      <charset val="1"/>
    </font>
    <font>
      <sz val="10"/>
      <color rgb="FF000000"/>
      <name val="Cambria"/>
      <family val="0"/>
      <charset val="1"/>
    </font>
    <font>
      <sz val="10"/>
      <color rgb="FF008000"/>
      <name val="Cambria"/>
      <family val="0"/>
      <charset val="1"/>
    </font>
    <font>
      <b val="true"/>
      <sz val="12"/>
      <color rgb="FFFFFF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BDD7EE"/>
      </patternFill>
    </fill>
    <fill>
      <patternFill patternType="solid">
        <fgColor rgb="FFBDD7EE"/>
        <bgColor rgb="FFD9E1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1F4E79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3"/>
    <col collapsed="false" customWidth="true" hidden="false" outlineLevel="0" max="12" min="3" style="0" width="13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 t="n">
        <v>1</v>
      </c>
    </row>
    <row r="6" customFormat="false" ht="15" hidden="false" customHeight="false" outlineLevel="0" collapsed="false">
      <c r="A6" s="4" t="s">
        <v>4</v>
      </c>
      <c r="B6" s="4" t="str">
        <f aca="false">CHOOSE($B$5,"Base","Upside","Downside")</f>
        <v>Base</v>
      </c>
    </row>
    <row r="8" customFormat="false" ht="15" hidden="false" customHeight="false" outlineLevel="0" collapsed="false">
      <c r="A8" s="6"/>
      <c r="B8" s="6"/>
      <c r="C8" s="7" t="s">
        <v>5</v>
      </c>
      <c r="D8" s="7" t="s">
        <v>6</v>
      </c>
      <c r="E8" s="7" t="s">
        <v>7</v>
      </c>
      <c r="F8" s="7" t="s">
        <v>8</v>
      </c>
      <c r="G8" s="7" t="s">
        <v>9</v>
      </c>
      <c r="H8" s="8" t="s">
        <v>10</v>
      </c>
      <c r="I8" s="7" t="s">
        <v>11</v>
      </c>
      <c r="J8" s="7" t="s">
        <v>12</v>
      </c>
      <c r="K8" s="7" t="s">
        <v>13</v>
      </c>
      <c r="L8" s="7" t="s">
        <v>14</v>
      </c>
    </row>
    <row r="10" customFormat="false" ht="15" hidden="false" customHeight="false" outlineLevel="0" collapsed="false">
      <c r="A10" s="9" t="s">
        <v>15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customFormat="false" ht="15" hidden="false" customHeight="false" outlineLevel="0" collapsed="false">
      <c r="A11" s="11" t="s">
        <v>16</v>
      </c>
      <c r="H11" s="12" t="n">
        <v>0.21</v>
      </c>
      <c r="I11" s="13" t="n">
        <v>0.17</v>
      </c>
      <c r="J11" s="13" t="n">
        <v>0.14</v>
      </c>
      <c r="K11" s="13" t="n">
        <v>0.12</v>
      </c>
      <c r="L11" s="13" t="n">
        <v>0.11</v>
      </c>
    </row>
    <row r="12" customFormat="false" ht="15" hidden="false" customHeight="false" outlineLevel="0" collapsed="false">
      <c r="A12" s="11" t="s">
        <v>17</v>
      </c>
      <c r="H12" s="12" t="n">
        <v>0.235</v>
      </c>
      <c r="I12" s="13" t="n">
        <v>0.205</v>
      </c>
      <c r="J12" s="13" t="n">
        <v>0.18</v>
      </c>
      <c r="K12" s="13" t="n">
        <v>0.155</v>
      </c>
      <c r="L12" s="13" t="n">
        <v>0.14</v>
      </c>
    </row>
    <row r="13" customFormat="false" ht="15" hidden="false" customHeight="false" outlineLevel="0" collapsed="false">
      <c r="A13" s="11" t="s">
        <v>18</v>
      </c>
      <c r="H13" s="12" t="n">
        <v>0.185</v>
      </c>
      <c r="I13" s="13" t="n">
        <v>0.12</v>
      </c>
      <c r="J13" s="13" t="n">
        <v>0.09</v>
      </c>
      <c r="K13" s="13" t="n">
        <v>0.07</v>
      </c>
      <c r="L13" s="13" t="n">
        <v>0.06</v>
      </c>
    </row>
    <row r="14" customFormat="false" ht="15" hidden="false" customHeight="false" outlineLevel="0" collapsed="false">
      <c r="A14" s="14" t="s">
        <v>19</v>
      </c>
      <c r="B14" s="15"/>
      <c r="C14" s="15"/>
      <c r="D14" s="15"/>
      <c r="E14" s="15"/>
      <c r="F14" s="15"/>
      <c r="G14" s="15"/>
      <c r="H14" s="16" t="n">
        <f aca="false">CHOOSE($B$5,H11,H12,H13)</f>
        <v>0.21</v>
      </c>
      <c r="I14" s="17" t="n">
        <f aca="false">CHOOSE($B$5,I11,I12,I13)</f>
        <v>0.17</v>
      </c>
      <c r="J14" s="17" t="n">
        <f aca="false">CHOOSE($B$5,J11,J12,J13)</f>
        <v>0.14</v>
      </c>
      <c r="K14" s="17" t="n">
        <f aca="false">CHOOSE($B$5,K11,K12,K13)</f>
        <v>0.12</v>
      </c>
      <c r="L14" s="17" t="n">
        <f aca="false">CHOOSE($B$5,L11,L12,L13)</f>
        <v>0.11</v>
      </c>
    </row>
    <row r="16" customFormat="false" ht="15" hidden="false" customHeight="false" outlineLevel="0" collapsed="false">
      <c r="A16" s="9" t="s">
        <v>20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customFormat="false" ht="15" hidden="false" customHeight="false" outlineLevel="0" collapsed="false">
      <c r="A17" s="11" t="s">
        <v>16</v>
      </c>
      <c r="H17" s="12" t="n">
        <v>0.335</v>
      </c>
      <c r="I17" s="13" t="n">
        <v>0.332</v>
      </c>
      <c r="J17" s="13" t="n">
        <v>0.33</v>
      </c>
      <c r="K17" s="13" t="n">
        <v>0.328</v>
      </c>
      <c r="L17" s="13" t="n">
        <v>0.326</v>
      </c>
    </row>
    <row r="18" customFormat="false" ht="15" hidden="false" customHeight="false" outlineLevel="0" collapsed="false">
      <c r="A18" s="11" t="s">
        <v>17</v>
      </c>
      <c r="H18" s="12" t="n">
        <v>0.33</v>
      </c>
      <c r="I18" s="13" t="n">
        <v>0.322</v>
      </c>
      <c r="J18" s="13" t="n">
        <v>0.315</v>
      </c>
      <c r="K18" s="13" t="n">
        <v>0.31</v>
      </c>
      <c r="L18" s="13" t="n">
        <v>0.305</v>
      </c>
    </row>
    <row r="19" customFormat="false" ht="15" hidden="false" customHeight="false" outlineLevel="0" collapsed="false">
      <c r="A19" s="11" t="s">
        <v>18</v>
      </c>
      <c r="H19" s="12" t="n">
        <v>0.345</v>
      </c>
      <c r="I19" s="13" t="n">
        <v>0.355</v>
      </c>
      <c r="J19" s="13" t="n">
        <v>0.365</v>
      </c>
      <c r="K19" s="13" t="n">
        <v>0.372</v>
      </c>
      <c r="L19" s="13" t="n">
        <v>0.378</v>
      </c>
    </row>
    <row r="20" customFormat="false" ht="15" hidden="false" customHeight="false" outlineLevel="0" collapsed="false">
      <c r="A20" s="14" t="s">
        <v>19</v>
      </c>
      <c r="B20" s="15"/>
      <c r="C20" s="15"/>
      <c r="D20" s="15"/>
      <c r="E20" s="15"/>
      <c r="F20" s="15"/>
      <c r="G20" s="15"/>
      <c r="H20" s="16" t="n">
        <f aca="false">CHOOSE($B$5,H17,H18,H19)</f>
        <v>0.335</v>
      </c>
      <c r="I20" s="17" t="n">
        <f aca="false">CHOOSE($B$5,I17,I18,I19)</f>
        <v>0.332</v>
      </c>
      <c r="J20" s="17" t="n">
        <f aca="false">CHOOSE($B$5,J17,J18,J19)</f>
        <v>0.33</v>
      </c>
      <c r="K20" s="17" t="n">
        <f aca="false">CHOOSE($B$5,K17,K18,K19)</f>
        <v>0.328</v>
      </c>
      <c r="L20" s="17" t="n">
        <f aca="false">CHOOSE($B$5,L17,L18,L19)</f>
        <v>0.326</v>
      </c>
    </row>
    <row r="22" customFormat="false" ht="15" hidden="false" customHeight="false" outlineLevel="0" collapsed="false">
      <c r="A22" s="9" t="s">
        <v>21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customFormat="false" ht="15" hidden="false" customHeight="false" outlineLevel="0" collapsed="false">
      <c r="A23" s="11" t="s">
        <v>16</v>
      </c>
      <c r="H23" s="12" t="n">
        <v>0.145</v>
      </c>
      <c r="I23" s="13" t="n">
        <v>0.144</v>
      </c>
      <c r="J23" s="13" t="n">
        <v>0.143</v>
      </c>
      <c r="K23" s="13" t="n">
        <v>0.142</v>
      </c>
      <c r="L23" s="13" t="n">
        <v>0.141</v>
      </c>
    </row>
    <row r="24" customFormat="false" ht="15" hidden="false" customHeight="false" outlineLevel="0" collapsed="false">
      <c r="A24" s="11" t="s">
        <v>17</v>
      </c>
      <c r="H24" s="12" t="n">
        <v>0.143</v>
      </c>
      <c r="I24" s="13" t="n">
        <v>0.14</v>
      </c>
      <c r="J24" s="13" t="n">
        <v>0.137</v>
      </c>
      <c r="K24" s="13" t="n">
        <v>0.135</v>
      </c>
      <c r="L24" s="13" t="n">
        <v>0.133</v>
      </c>
    </row>
    <row r="25" customFormat="false" ht="15" hidden="false" customHeight="false" outlineLevel="0" collapsed="false">
      <c r="A25" s="11" t="s">
        <v>18</v>
      </c>
      <c r="H25" s="12" t="n">
        <v>0.15</v>
      </c>
      <c r="I25" s="13" t="n">
        <v>0.156</v>
      </c>
      <c r="J25" s="13" t="n">
        <v>0.161</v>
      </c>
      <c r="K25" s="13" t="n">
        <v>0.165</v>
      </c>
      <c r="L25" s="13" t="n">
        <v>0.168</v>
      </c>
    </row>
    <row r="26" customFormat="false" ht="15" hidden="false" customHeight="false" outlineLevel="0" collapsed="false">
      <c r="A26" s="14" t="s">
        <v>19</v>
      </c>
      <c r="B26" s="15"/>
      <c r="C26" s="15"/>
      <c r="D26" s="15"/>
      <c r="E26" s="15"/>
      <c r="F26" s="15"/>
      <c r="G26" s="15"/>
      <c r="H26" s="16" t="n">
        <f aca="false">CHOOSE($B$5,H23,H24,H25)</f>
        <v>0.145</v>
      </c>
      <c r="I26" s="17" t="n">
        <f aca="false">CHOOSE($B$5,I23,I24,I25)</f>
        <v>0.144</v>
      </c>
      <c r="J26" s="17" t="n">
        <f aca="false">CHOOSE($B$5,J23,J24,J25)</f>
        <v>0.143</v>
      </c>
      <c r="K26" s="17" t="n">
        <f aca="false">CHOOSE($B$5,K23,K24,K25)</f>
        <v>0.142</v>
      </c>
      <c r="L26" s="17" t="n">
        <f aca="false">CHOOSE($B$5,L23,L24,L25)</f>
        <v>0.141</v>
      </c>
    </row>
    <row r="28" customFormat="false" ht="15" hidden="false" customHeight="false" outlineLevel="0" collapsed="false">
      <c r="A28" s="9" t="s">
        <v>22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customFormat="false" ht="15" hidden="false" customHeight="false" outlineLevel="0" collapsed="false">
      <c r="A29" s="11" t="s">
        <v>16</v>
      </c>
      <c r="H29" s="12" t="n">
        <v>0.069</v>
      </c>
      <c r="I29" s="13" t="n">
        <v>0.068</v>
      </c>
      <c r="J29" s="13" t="n">
        <v>0.067</v>
      </c>
      <c r="K29" s="13" t="n">
        <v>0.066</v>
      </c>
      <c r="L29" s="13" t="n">
        <v>0.065</v>
      </c>
    </row>
    <row r="30" customFormat="false" ht="15" hidden="false" customHeight="false" outlineLevel="0" collapsed="false">
      <c r="A30" s="11" t="s">
        <v>17</v>
      </c>
      <c r="H30" s="12" t="n">
        <v>0.068</v>
      </c>
      <c r="I30" s="13" t="n">
        <v>0.066</v>
      </c>
      <c r="J30" s="13" t="n">
        <v>0.064</v>
      </c>
      <c r="K30" s="13" t="n">
        <v>0.063</v>
      </c>
      <c r="L30" s="13" t="n">
        <v>0.062</v>
      </c>
    </row>
    <row r="31" customFormat="false" ht="15" hidden="false" customHeight="false" outlineLevel="0" collapsed="false">
      <c r="A31" s="11" t="s">
        <v>18</v>
      </c>
      <c r="H31" s="12" t="n">
        <v>0.071</v>
      </c>
      <c r="I31" s="13" t="n">
        <v>0.073</v>
      </c>
      <c r="J31" s="13" t="n">
        <v>0.075</v>
      </c>
      <c r="K31" s="13" t="n">
        <v>0.076</v>
      </c>
      <c r="L31" s="13" t="n">
        <v>0.077</v>
      </c>
    </row>
    <row r="32" customFormat="false" ht="15" hidden="false" customHeight="false" outlineLevel="0" collapsed="false">
      <c r="A32" s="14" t="s">
        <v>19</v>
      </c>
      <c r="B32" s="15"/>
      <c r="C32" s="15"/>
      <c r="D32" s="15"/>
      <c r="E32" s="15"/>
      <c r="F32" s="15"/>
      <c r="G32" s="15"/>
      <c r="H32" s="16" t="n">
        <f aca="false">CHOOSE($B$5,H29,H30,H31)</f>
        <v>0.069</v>
      </c>
      <c r="I32" s="17" t="n">
        <f aca="false">CHOOSE($B$5,I29,I30,I31)</f>
        <v>0.068</v>
      </c>
      <c r="J32" s="17" t="n">
        <f aca="false">CHOOSE($B$5,J29,J30,J31)</f>
        <v>0.067</v>
      </c>
      <c r="K32" s="17" t="n">
        <f aca="false">CHOOSE($B$5,K29,K30,K31)</f>
        <v>0.066</v>
      </c>
      <c r="L32" s="17" t="n">
        <f aca="false">CHOOSE($B$5,L29,L30,L31)</f>
        <v>0.065</v>
      </c>
    </row>
    <row r="34" customFormat="false" ht="15" hidden="false" customHeight="false" outlineLevel="0" collapsed="false">
      <c r="A34" s="9" t="s">
        <v>23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customFormat="false" ht="15" hidden="false" customHeight="false" outlineLevel="0" collapsed="false">
      <c r="A35" s="11" t="s">
        <v>16</v>
      </c>
      <c r="H35" s="12" t="n">
        <v>0.047</v>
      </c>
      <c r="I35" s="13" t="n">
        <v>0.045</v>
      </c>
      <c r="J35" s="13" t="n">
        <v>0.044</v>
      </c>
      <c r="K35" s="13" t="n">
        <v>0.043</v>
      </c>
      <c r="L35" s="13" t="n">
        <v>0.042</v>
      </c>
    </row>
    <row r="36" customFormat="false" ht="15" hidden="false" customHeight="false" outlineLevel="0" collapsed="false">
      <c r="A36" s="11" t="s">
        <v>17</v>
      </c>
      <c r="H36" s="12" t="n">
        <v>0.046</v>
      </c>
      <c r="I36" s="13" t="n">
        <v>0.043</v>
      </c>
      <c r="J36" s="13" t="n">
        <v>0.041</v>
      </c>
      <c r="K36" s="13" t="n">
        <v>0.04</v>
      </c>
      <c r="L36" s="13" t="n">
        <v>0.039</v>
      </c>
    </row>
    <row r="37" customFormat="false" ht="15" hidden="false" customHeight="false" outlineLevel="0" collapsed="false">
      <c r="A37" s="11" t="s">
        <v>18</v>
      </c>
      <c r="H37" s="12" t="n">
        <v>0.049</v>
      </c>
      <c r="I37" s="13" t="n">
        <v>0.05</v>
      </c>
      <c r="J37" s="13" t="n">
        <v>0.051</v>
      </c>
      <c r="K37" s="13" t="n">
        <v>0.052</v>
      </c>
      <c r="L37" s="13" t="n">
        <v>0.053</v>
      </c>
    </row>
    <row r="38" customFormat="false" ht="15" hidden="false" customHeight="false" outlineLevel="0" collapsed="false">
      <c r="A38" s="14" t="s">
        <v>19</v>
      </c>
      <c r="B38" s="15"/>
      <c r="C38" s="15"/>
      <c r="D38" s="15"/>
      <c r="E38" s="15"/>
      <c r="F38" s="15"/>
      <c r="G38" s="15"/>
      <c r="H38" s="16" t="n">
        <f aca="false">CHOOSE($B$5,H35,H36,H37)</f>
        <v>0.047</v>
      </c>
      <c r="I38" s="17" t="n">
        <f aca="false">CHOOSE($B$5,I35,I36,I37)</f>
        <v>0.045</v>
      </c>
      <c r="J38" s="17" t="n">
        <f aca="false">CHOOSE($B$5,J35,J36,J37)</f>
        <v>0.044</v>
      </c>
      <c r="K38" s="17" t="n">
        <f aca="false">CHOOSE($B$5,K35,K36,K37)</f>
        <v>0.043</v>
      </c>
      <c r="L38" s="17" t="n">
        <f aca="false">CHOOSE($B$5,L35,L36,L37)</f>
        <v>0.042</v>
      </c>
    </row>
    <row r="40" customFormat="false" ht="15" hidden="false" customHeight="false" outlineLevel="0" collapsed="false">
      <c r="A40" s="9" t="s">
        <v>24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customFormat="false" ht="15" hidden="false" customHeight="false" outlineLevel="0" collapsed="false">
      <c r="A41" s="11" t="s">
        <v>16</v>
      </c>
      <c r="H41" s="12" t="n">
        <v>0.13</v>
      </c>
      <c r="I41" s="13" t="n">
        <v>0.15</v>
      </c>
      <c r="J41" s="13" t="n">
        <v>0.165</v>
      </c>
      <c r="K41" s="13" t="n">
        <v>0.175</v>
      </c>
      <c r="L41" s="13" t="n">
        <v>0.18</v>
      </c>
    </row>
    <row r="42" customFormat="false" ht="15" hidden="false" customHeight="false" outlineLevel="0" collapsed="false">
      <c r="A42" s="11" t="s">
        <v>17</v>
      </c>
      <c r="H42" s="12" t="n">
        <v>0.128</v>
      </c>
      <c r="I42" s="13" t="n">
        <v>0.143</v>
      </c>
      <c r="J42" s="13" t="n">
        <v>0.153</v>
      </c>
      <c r="K42" s="13" t="n">
        <v>0.16</v>
      </c>
      <c r="L42" s="13" t="n">
        <v>0.163</v>
      </c>
    </row>
    <row r="43" customFormat="false" ht="15" hidden="false" customHeight="false" outlineLevel="0" collapsed="false">
      <c r="A43" s="11" t="s">
        <v>18</v>
      </c>
      <c r="H43" s="12" t="n">
        <v>0.133</v>
      </c>
      <c r="I43" s="13" t="n">
        <v>0.158</v>
      </c>
      <c r="J43" s="13" t="n">
        <v>0.178</v>
      </c>
      <c r="K43" s="13" t="n">
        <v>0.192</v>
      </c>
      <c r="L43" s="13" t="n">
        <v>0.2</v>
      </c>
    </row>
    <row r="44" customFormat="false" ht="15" hidden="false" customHeight="false" outlineLevel="0" collapsed="false">
      <c r="A44" s="14" t="s">
        <v>19</v>
      </c>
      <c r="B44" s="15"/>
      <c r="C44" s="15"/>
      <c r="D44" s="15"/>
      <c r="E44" s="15"/>
      <c r="F44" s="15"/>
      <c r="G44" s="15"/>
      <c r="H44" s="16" t="n">
        <f aca="false">CHOOSE($B$5,H41,H42,H43)</f>
        <v>0.13</v>
      </c>
      <c r="I44" s="17" t="n">
        <f aca="false">CHOOSE($B$5,I41,I42,I43)</f>
        <v>0.15</v>
      </c>
      <c r="J44" s="17" t="n">
        <f aca="false">CHOOSE($B$5,J41,J42,J43)</f>
        <v>0.165</v>
      </c>
      <c r="K44" s="17" t="n">
        <f aca="false">CHOOSE($B$5,K41,K42,K43)</f>
        <v>0.175</v>
      </c>
      <c r="L44" s="17" t="n">
        <f aca="false">CHOOSE($B$5,L41,L42,L43)</f>
        <v>0.18</v>
      </c>
    </row>
    <row r="46" customFormat="false" ht="15" hidden="false" customHeight="false" outlineLevel="0" collapsed="false">
      <c r="A46" s="9" t="s">
        <v>25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customFormat="false" ht="15" hidden="false" customHeight="false" outlineLevel="0" collapsed="false">
      <c r="A47" s="11" t="s">
        <v>16</v>
      </c>
      <c r="H47" s="18" t="n">
        <v>200000</v>
      </c>
      <c r="I47" s="19" t="n">
        <v>260000</v>
      </c>
      <c r="J47" s="19" t="n">
        <v>290000</v>
      </c>
      <c r="K47" s="19" t="n">
        <v>300000</v>
      </c>
      <c r="L47" s="19" t="n">
        <v>305000</v>
      </c>
    </row>
    <row r="48" customFormat="false" ht="15" hidden="false" customHeight="false" outlineLevel="0" collapsed="false">
      <c r="A48" s="11" t="s">
        <v>17</v>
      </c>
      <c r="H48" s="18" t="n">
        <v>200000</v>
      </c>
      <c r="I48" s="19" t="n">
        <v>255000</v>
      </c>
      <c r="J48" s="19" t="n">
        <v>275000</v>
      </c>
      <c r="K48" s="19" t="n">
        <v>290000</v>
      </c>
      <c r="L48" s="19" t="n">
        <v>295000</v>
      </c>
    </row>
    <row r="49" customFormat="false" ht="15" hidden="false" customHeight="false" outlineLevel="0" collapsed="false">
      <c r="A49" s="11" t="s">
        <v>18</v>
      </c>
      <c r="H49" s="18" t="n">
        <v>200000</v>
      </c>
      <c r="I49" s="19" t="n">
        <v>265000</v>
      </c>
      <c r="J49" s="19" t="n">
        <v>285000</v>
      </c>
      <c r="K49" s="19" t="n">
        <v>280000</v>
      </c>
      <c r="L49" s="19" t="n">
        <v>270000</v>
      </c>
    </row>
    <row r="50" customFormat="false" ht="15" hidden="false" customHeight="false" outlineLevel="0" collapsed="false">
      <c r="A50" s="14" t="s">
        <v>19</v>
      </c>
      <c r="B50" s="15"/>
      <c r="C50" s="15"/>
      <c r="D50" s="15"/>
      <c r="E50" s="15"/>
      <c r="F50" s="15"/>
      <c r="G50" s="15"/>
      <c r="H50" s="20" t="n">
        <f aca="false">CHOOSE($B$5,H47,H48,H49)</f>
        <v>200000</v>
      </c>
      <c r="I50" s="21" t="n">
        <f aca="false">CHOOSE($B$5,I47,I48,I49)</f>
        <v>260000</v>
      </c>
      <c r="J50" s="21" t="n">
        <f aca="false">CHOOSE($B$5,J47,J48,J49)</f>
        <v>290000</v>
      </c>
      <c r="K50" s="21" t="n">
        <f aca="false">CHOOSE($B$5,K47,K48,K49)</f>
        <v>300000</v>
      </c>
      <c r="L50" s="21" t="n">
        <f aca="false">CHOOSE($B$5,L47,L48,L49)</f>
        <v>305000</v>
      </c>
    </row>
    <row r="52" customFormat="false" ht="15" hidden="false" customHeight="false" outlineLevel="0" collapsed="false">
      <c r="A52" s="9" t="s">
        <v>26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customFormat="false" ht="15" hidden="false" customHeight="false" outlineLevel="0" collapsed="false">
      <c r="A53" s="11" t="s">
        <v>16</v>
      </c>
      <c r="H53" s="12" t="n">
        <v>0.19</v>
      </c>
      <c r="I53" s="13" t="n">
        <v>0.19</v>
      </c>
      <c r="J53" s="13" t="n">
        <v>0.19</v>
      </c>
      <c r="K53" s="13" t="n">
        <v>0.19</v>
      </c>
      <c r="L53" s="13" t="n">
        <v>0.19</v>
      </c>
    </row>
    <row r="54" customFormat="false" ht="15" hidden="false" customHeight="false" outlineLevel="0" collapsed="false">
      <c r="A54" s="11" t="s">
        <v>17</v>
      </c>
      <c r="H54" s="12" t="n">
        <v>0.185</v>
      </c>
      <c r="I54" s="13" t="n">
        <v>0.183</v>
      </c>
      <c r="J54" s="13" t="n">
        <v>0.18</v>
      </c>
      <c r="K54" s="13" t="n">
        <v>0.18</v>
      </c>
      <c r="L54" s="13" t="n">
        <v>0.18</v>
      </c>
    </row>
    <row r="55" customFormat="false" ht="15" hidden="false" customHeight="false" outlineLevel="0" collapsed="false">
      <c r="A55" s="11" t="s">
        <v>18</v>
      </c>
      <c r="H55" s="12" t="n">
        <v>0.195</v>
      </c>
      <c r="I55" s="13" t="n">
        <v>0.2</v>
      </c>
      <c r="J55" s="13" t="n">
        <v>0.205</v>
      </c>
      <c r="K55" s="13" t="n">
        <v>0.205</v>
      </c>
      <c r="L55" s="13" t="n">
        <v>0.205</v>
      </c>
    </row>
    <row r="56" customFormat="false" ht="15" hidden="false" customHeight="false" outlineLevel="0" collapsed="false">
      <c r="A56" s="14" t="s">
        <v>19</v>
      </c>
      <c r="B56" s="15"/>
      <c r="C56" s="15"/>
      <c r="D56" s="15"/>
      <c r="E56" s="15"/>
      <c r="F56" s="15"/>
      <c r="G56" s="15"/>
      <c r="H56" s="16" t="n">
        <f aca="false">CHOOSE($B$5,H53,H54,H55)</f>
        <v>0.19</v>
      </c>
      <c r="I56" s="17" t="n">
        <f aca="false">CHOOSE($B$5,I53,I54,I55)</f>
        <v>0.19</v>
      </c>
      <c r="J56" s="17" t="n">
        <f aca="false">CHOOSE($B$5,J53,J54,J55)</f>
        <v>0.19</v>
      </c>
      <c r="K56" s="17" t="n">
        <f aca="false">CHOOSE($B$5,K53,K54,K55)</f>
        <v>0.19</v>
      </c>
      <c r="L56" s="17" t="n">
        <f aca="false">CHOOSE($B$5,L53,L54,L55)</f>
        <v>0.19</v>
      </c>
    </row>
    <row r="58" customFormat="false" ht="15" hidden="false" customHeight="false" outlineLevel="0" collapsed="false">
      <c r="A58" s="9" t="s">
        <v>27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customFormat="false" ht="15" hidden="false" customHeight="false" outlineLevel="0" collapsed="false">
      <c r="A59" s="11" t="s">
        <v>28</v>
      </c>
      <c r="H59" s="12" t="n">
        <v>0.85</v>
      </c>
      <c r="I59" s="13" t="n">
        <v>0.85</v>
      </c>
      <c r="J59" s="13" t="n">
        <v>0.85</v>
      </c>
      <c r="K59" s="13" t="n">
        <v>0.85</v>
      </c>
      <c r="L59" s="13" t="n">
        <v>0.85</v>
      </c>
    </row>
    <row r="60" customFormat="false" ht="15" hidden="false" customHeight="false" outlineLevel="0" collapsed="false">
      <c r="A60" s="11" t="s">
        <v>29</v>
      </c>
      <c r="H60" s="12" t="n">
        <v>0.062</v>
      </c>
      <c r="I60" s="13" t="n">
        <v>0.06</v>
      </c>
      <c r="J60" s="13" t="n">
        <v>0.058</v>
      </c>
      <c r="K60" s="13" t="n">
        <v>0.056</v>
      </c>
      <c r="L60" s="13" t="n">
        <v>0.055</v>
      </c>
    </row>
    <row r="61" customFormat="false" ht="15" hidden="false" customHeight="false" outlineLevel="0" collapsed="false">
      <c r="A61" s="11" t="s">
        <v>30</v>
      </c>
      <c r="H61" s="12" t="n">
        <v>0.04</v>
      </c>
      <c r="I61" s="13" t="n">
        <v>0.038</v>
      </c>
      <c r="J61" s="13" t="n">
        <v>0.036</v>
      </c>
      <c r="K61" s="13" t="n">
        <v>0.035</v>
      </c>
      <c r="L61" s="13" t="n">
        <v>0.035</v>
      </c>
    </row>
    <row r="62" customFormat="false" ht="15" hidden="false" customHeight="false" outlineLevel="0" collapsed="false">
      <c r="A62" s="11" t="s">
        <v>31</v>
      </c>
      <c r="H62" s="12" t="n">
        <v>0.043</v>
      </c>
      <c r="I62" s="13" t="n">
        <v>0.044</v>
      </c>
      <c r="J62" s="13" t="n">
        <v>0.044</v>
      </c>
      <c r="K62" s="13" t="n">
        <v>0.045</v>
      </c>
      <c r="L62" s="13" t="n">
        <v>0.045</v>
      </c>
    </row>
    <row r="63" customFormat="false" ht="15" hidden="false" customHeight="false" outlineLevel="0" collapsed="false">
      <c r="A63" s="11" t="s">
        <v>32</v>
      </c>
      <c r="H63" s="18" t="n">
        <v>0</v>
      </c>
      <c r="I63" s="19" t="n">
        <v>0</v>
      </c>
      <c r="J63" s="19" t="n">
        <v>0</v>
      </c>
      <c r="K63" s="19" t="n">
        <v>0</v>
      </c>
      <c r="L63" s="19" t="n">
        <v>0</v>
      </c>
    </row>
    <row r="65" customFormat="false" ht="15" hidden="false" customHeight="false" outlineLevel="0" collapsed="false">
      <c r="A65" s="9" t="s">
        <v>33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customFormat="false" ht="15" hidden="false" customHeight="false" outlineLevel="0" collapsed="false">
      <c r="A66" s="11" t="s">
        <v>34</v>
      </c>
      <c r="H66" s="22" t="n">
        <v>57</v>
      </c>
      <c r="I66" s="23" t="n">
        <v>57</v>
      </c>
      <c r="J66" s="23" t="n">
        <v>57</v>
      </c>
      <c r="K66" s="23" t="n">
        <v>57</v>
      </c>
      <c r="L66" s="23" t="n">
        <v>57</v>
      </c>
    </row>
    <row r="67" customFormat="false" ht="15" hidden="false" customHeight="false" outlineLevel="0" collapsed="false">
      <c r="A67" s="11" t="s">
        <v>35</v>
      </c>
      <c r="H67" s="22" t="n">
        <v>30</v>
      </c>
      <c r="I67" s="23" t="n">
        <v>30</v>
      </c>
      <c r="J67" s="23" t="n">
        <v>30</v>
      </c>
      <c r="K67" s="23" t="n">
        <v>30</v>
      </c>
      <c r="L67" s="23" t="n">
        <v>30</v>
      </c>
    </row>
    <row r="68" customFormat="false" ht="15" hidden="false" customHeight="false" outlineLevel="0" collapsed="false">
      <c r="A68" s="11" t="s">
        <v>36</v>
      </c>
      <c r="H68" s="12" t="n">
        <v>0.05</v>
      </c>
      <c r="I68" s="13" t="n">
        <v>0.055</v>
      </c>
      <c r="J68" s="13" t="n">
        <v>0.058</v>
      </c>
      <c r="K68" s="13" t="n">
        <v>0.06</v>
      </c>
      <c r="L68" s="13" t="n">
        <v>0.06</v>
      </c>
    </row>
    <row r="69" customFormat="false" ht="15" hidden="false" customHeight="false" outlineLevel="0" collapsed="false">
      <c r="A69" s="11" t="s">
        <v>37</v>
      </c>
      <c r="H69" s="12" t="n">
        <v>0.04</v>
      </c>
      <c r="I69" s="13" t="n">
        <v>0.04</v>
      </c>
      <c r="J69" s="13" t="n">
        <v>0.04</v>
      </c>
      <c r="K69" s="13" t="n">
        <v>0.04</v>
      </c>
      <c r="L69" s="13" t="n">
        <v>0.04</v>
      </c>
    </row>
    <row r="70" customFormat="false" ht="15" hidden="false" customHeight="false" outlineLevel="0" collapsed="false">
      <c r="A70" s="11" t="s">
        <v>38</v>
      </c>
      <c r="H70" s="12" t="n">
        <v>0.04</v>
      </c>
      <c r="I70" s="13" t="n">
        <v>0.04</v>
      </c>
      <c r="J70" s="13" t="n">
        <v>0.04</v>
      </c>
      <c r="K70" s="13" t="n">
        <v>0.04</v>
      </c>
      <c r="L70" s="13" t="n">
        <v>0.04</v>
      </c>
    </row>
    <row r="71" customFormat="false" ht="15" hidden="false" customHeight="false" outlineLevel="0" collapsed="false">
      <c r="A71" s="11" t="s">
        <v>39</v>
      </c>
      <c r="H71" s="12" t="n">
        <v>0.14</v>
      </c>
      <c r="I71" s="13" t="n">
        <v>0.14</v>
      </c>
      <c r="J71" s="13" t="n">
        <v>0.14</v>
      </c>
      <c r="K71" s="13" t="n">
        <v>0.14</v>
      </c>
      <c r="L71" s="13" t="n">
        <v>0.14</v>
      </c>
    </row>
    <row r="72" customFormat="false" ht="15" hidden="false" customHeight="false" outlineLevel="0" collapsed="false">
      <c r="A72" s="11" t="s">
        <v>40</v>
      </c>
      <c r="H72" s="12" t="n">
        <v>0.026</v>
      </c>
      <c r="I72" s="13" t="n">
        <v>0.026</v>
      </c>
      <c r="J72" s="13" t="n">
        <v>0.026</v>
      </c>
      <c r="K72" s="13" t="n">
        <v>0.026</v>
      </c>
      <c r="L72" s="13" t="n">
        <v>0.026</v>
      </c>
    </row>
    <row r="73" customFormat="false" ht="15" hidden="false" customHeight="false" outlineLevel="0" collapsed="false">
      <c r="A73" s="11" t="s">
        <v>41</v>
      </c>
      <c r="H73" s="12" t="n">
        <v>0.017</v>
      </c>
      <c r="I73" s="13" t="n">
        <v>0.017</v>
      </c>
      <c r="J73" s="13" t="n">
        <v>0.017</v>
      </c>
      <c r="K73" s="13" t="n">
        <v>0.017</v>
      </c>
      <c r="L73" s="13" t="n">
        <v>0.017</v>
      </c>
    </row>
    <row r="74" customFormat="false" ht="15" hidden="false" customHeight="false" outlineLevel="0" collapsed="false">
      <c r="A74" s="11" t="s">
        <v>42</v>
      </c>
      <c r="H74" s="12" t="n">
        <v>0.037</v>
      </c>
      <c r="I74" s="13" t="n">
        <v>0.037</v>
      </c>
      <c r="J74" s="13" t="n">
        <v>0.037</v>
      </c>
      <c r="K74" s="13" t="n">
        <v>0.037</v>
      </c>
      <c r="L74" s="13" t="n">
        <v>0.037</v>
      </c>
    </row>
    <row r="75" customFormat="false" ht="15" hidden="false" customHeight="false" outlineLevel="0" collapsed="false">
      <c r="A75" s="11" t="s">
        <v>43</v>
      </c>
      <c r="H75" s="12" t="n">
        <v>0.031</v>
      </c>
      <c r="I75" s="13" t="n">
        <v>0.031</v>
      </c>
      <c r="J75" s="13" t="n">
        <v>0.031</v>
      </c>
      <c r="K75" s="13" t="n">
        <v>0.031</v>
      </c>
      <c r="L75" s="13" t="n">
        <v>0.031</v>
      </c>
    </row>
    <row r="76" customFormat="false" ht="15" hidden="false" customHeight="false" outlineLevel="0" collapsed="false">
      <c r="A76" s="11" t="s">
        <v>44</v>
      </c>
      <c r="H76" s="12" t="n">
        <v>0.045</v>
      </c>
      <c r="I76" s="13" t="n">
        <v>0.045</v>
      </c>
      <c r="J76" s="13" t="n">
        <v>0.045</v>
      </c>
      <c r="K76" s="13" t="n">
        <v>0.045</v>
      </c>
      <c r="L76" s="13" t="n">
        <v>0.045</v>
      </c>
    </row>
    <row r="78" customFormat="false" ht="15" hidden="false" customHeight="false" outlineLevel="0" collapsed="false">
      <c r="A78" s="9" t="s">
        <v>45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customFormat="false" ht="15" hidden="false" customHeight="false" outlineLevel="0" collapsed="false">
      <c r="A79" s="11" t="s">
        <v>46</v>
      </c>
      <c r="H79" s="18" t="n">
        <v>150000</v>
      </c>
      <c r="I79" s="19" t="n">
        <v>130000</v>
      </c>
      <c r="J79" s="19" t="n">
        <v>115000</v>
      </c>
      <c r="K79" s="19" t="n">
        <v>105000</v>
      </c>
      <c r="L79" s="19" t="n">
        <v>105000</v>
      </c>
    </row>
    <row r="80" customFormat="false" ht="15" hidden="false" customHeight="false" outlineLevel="0" collapsed="false">
      <c r="A80" s="11" t="s">
        <v>47</v>
      </c>
      <c r="H80" s="18" t="n">
        <v>22051</v>
      </c>
      <c r="I80" s="19" t="n">
        <v>5000</v>
      </c>
      <c r="J80" s="19" t="n">
        <v>5000</v>
      </c>
      <c r="K80" s="19" t="n">
        <v>5000</v>
      </c>
      <c r="L80" s="19" t="n">
        <v>5000</v>
      </c>
    </row>
    <row r="81" customFormat="false" ht="15" hidden="false" customHeight="false" outlineLevel="0" collapsed="false">
      <c r="A81" s="11" t="s">
        <v>48</v>
      </c>
      <c r="H81" s="18" t="n">
        <v>33697</v>
      </c>
      <c r="I81" s="19" t="n">
        <v>2000</v>
      </c>
      <c r="J81" s="19" t="n">
        <v>2000</v>
      </c>
      <c r="K81" s="19" t="n">
        <v>2000</v>
      </c>
      <c r="L81" s="19" t="n">
        <v>2000</v>
      </c>
    </row>
    <row r="82" customFormat="false" ht="15" hidden="false" customHeight="false" outlineLevel="0" collapsed="false">
      <c r="A82" s="11" t="s">
        <v>49</v>
      </c>
      <c r="H82" s="18" t="n">
        <v>1448</v>
      </c>
      <c r="I82" s="19" t="n">
        <v>1448</v>
      </c>
      <c r="J82" s="19" t="n">
        <v>1448</v>
      </c>
      <c r="K82" s="19" t="n">
        <v>1448</v>
      </c>
      <c r="L82" s="19" t="n">
        <v>1448</v>
      </c>
    </row>
    <row r="83" customFormat="false" ht="15" hidden="false" customHeight="false" outlineLevel="0" collapsed="false">
      <c r="A83" s="11" t="s">
        <v>50</v>
      </c>
      <c r="H83" s="18" t="n">
        <v>11306</v>
      </c>
      <c r="I83" s="19" t="n">
        <v>11500</v>
      </c>
      <c r="J83" s="19" t="n">
        <v>11800</v>
      </c>
      <c r="K83" s="19" t="n">
        <v>12000</v>
      </c>
      <c r="L83" s="19" t="n">
        <v>12200</v>
      </c>
    </row>
    <row r="84" customFormat="false" ht="15" hidden="false" customHeight="false" outlineLevel="0" collapsed="false">
      <c r="A84" s="11" t="s">
        <v>51</v>
      </c>
      <c r="H84" s="18" t="n">
        <v>8511</v>
      </c>
      <c r="I84" s="19" t="n">
        <v>9000</v>
      </c>
      <c r="J84" s="19" t="n">
        <v>9500</v>
      </c>
      <c r="K84" s="19" t="n">
        <v>10000</v>
      </c>
      <c r="L84" s="19" t="n">
        <v>10500</v>
      </c>
    </row>
    <row r="86" customFormat="false" ht="15" hidden="false" customHeight="false" outlineLevel="0" collapsed="false">
      <c r="A86" s="9" t="s">
        <v>52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customFormat="false" ht="15" hidden="false" customHeight="false" outlineLevel="0" collapsed="false">
      <c r="A87" s="11" t="s">
        <v>53</v>
      </c>
      <c r="H87" s="18" t="n">
        <v>60000</v>
      </c>
      <c r="I87" s="19" t="n">
        <v>45000</v>
      </c>
      <c r="J87" s="19" t="n">
        <v>45000</v>
      </c>
      <c r="K87" s="19" t="n">
        <v>40000</v>
      </c>
      <c r="L87" s="19" t="n">
        <v>40000</v>
      </c>
    </row>
    <row r="88" customFormat="false" ht="15" hidden="false" customHeight="false" outlineLevel="0" collapsed="false">
      <c r="A88" s="11" t="s">
        <v>54</v>
      </c>
      <c r="H88" s="18" t="n">
        <v>5253</v>
      </c>
      <c r="I88" s="19" t="n">
        <v>8000</v>
      </c>
      <c r="J88" s="19" t="n">
        <v>10000</v>
      </c>
      <c r="K88" s="19" t="n">
        <v>12000</v>
      </c>
      <c r="L88" s="19" t="n">
        <v>15000</v>
      </c>
    </row>
    <row r="89" customFormat="false" ht="15" hidden="false" customHeight="false" outlineLevel="0" collapsed="false">
      <c r="A89" s="11" t="s">
        <v>55</v>
      </c>
      <c r="H89" s="18" t="n">
        <v>31539</v>
      </c>
      <c r="I89" s="19" t="n">
        <v>10000</v>
      </c>
      <c r="J89" s="19" t="n">
        <v>10000</v>
      </c>
      <c r="K89" s="19" t="n">
        <v>10000</v>
      </c>
      <c r="L89" s="19" t="n">
        <v>10000</v>
      </c>
    </row>
    <row r="90" customFormat="false" ht="15" hidden="false" customHeight="false" outlineLevel="0" collapsed="false">
      <c r="A90" s="11" t="s">
        <v>56</v>
      </c>
      <c r="H90" s="18" t="n">
        <v>18023</v>
      </c>
      <c r="I90" s="19" t="n">
        <v>0</v>
      </c>
      <c r="J90" s="19" t="n">
        <v>0</v>
      </c>
      <c r="K90" s="19" t="n">
        <v>0</v>
      </c>
      <c r="L90" s="19" t="n">
        <v>0</v>
      </c>
    </row>
    <row r="91" customFormat="false" ht="15" hidden="false" customHeight="false" outlineLevel="0" collapsed="false">
      <c r="A91" s="11" t="s">
        <v>57</v>
      </c>
      <c r="H91" s="18" t="n">
        <v>24000</v>
      </c>
      <c r="I91" s="19" t="n">
        <v>20000</v>
      </c>
      <c r="J91" s="19" t="n">
        <v>21000</v>
      </c>
      <c r="K91" s="19" t="n">
        <v>22000</v>
      </c>
      <c r="L91" s="19" t="n">
        <v>23000</v>
      </c>
    </row>
    <row r="92" customFormat="false" ht="15" hidden="false" customHeight="false" outlineLevel="0" collapsed="false">
      <c r="A92" s="11" t="s">
        <v>58</v>
      </c>
      <c r="H92" s="18" t="n">
        <v>0</v>
      </c>
      <c r="I92" s="19" t="n">
        <v>0</v>
      </c>
      <c r="J92" s="19" t="n">
        <v>20000</v>
      </c>
      <c r="K92" s="19" t="n">
        <v>40000</v>
      </c>
      <c r="L92" s="19" t="n">
        <v>60000</v>
      </c>
    </row>
    <row r="93" customFormat="false" ht="15" hidden="false" customHeight="false" outlineLevel="0" collapsed="false">
      <c r="A93" s="11" t="s">
        <v>59</v>
      </c>
      <c r="H93" s="24" t="n">
        <v>0.88</v>
      </c>
      <c r="I93" s="25" t="n">
        <v>0.97</v>
      </c>
      <c r="J93" s="25" t="n">
        <v>1.06</v>
      </c>
      <c r="K93" s="25" t="n">
        <v>1.17</v>
      </c>
      <c r="L93" s="25" t="n">
        <v>1.29</v>
      </c>
    </row>
    <row r="94" customFormat="false" ht="15" hidden="false" customHeight="false" outlineLevel="0" collapsed="false">
      <c r="A94" s="11" t="s">
        <v>60</v>
      </c>
      <c r="H94" s="18" t="n">
        <v>400</v>
      </c>
      <c r="I94" s="19" t="n">
        <v>1188</v>
      </c>
      <c r="J94" s="19" t="n">
        <v>1188</v>
      </c>
      <c r="K94" s="19" t="n">
        <v>1188</v>
      </c>
      <c r="L94" s="19" t="n">
        <v>1188</v>
      </c>
    </row>
    <row r="95" customFormat="false" ht="15" hidden="false" customHeight="false" outlineLevel="0" collapsed="false">
      <c r="A95" s="11" t="s">
        <v>61</v>
      </c>
      <c r="H95" s="12" t="n">
        <v>0.018</v>
      </c>
      <c r="I95" s="13" t="n">
        <v>0.009</v>
      </c>
      <c r="J95" s="13" t="n">
        <v>0.003</v>
      </c>
      <c r="K95" s="13" t="n">
        <v>-0.002</v>
      </c>
      <c r="L95" s="13" t="n">
        <v>-0.005</v>
      </c>
    </row>
    <row r="97" customFormat="false" ht="15" hidden="false" customHeight="false" outlineLevel="0" collapsed="false">
      <c r="A97" s="9" t="s">
        <v>62</v>
      </c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customFormat="false" ht="25.5" hidden="false" customHeight="true" outlineLevel="0" collapsed="false">
      <c r="A98" s="26" t="s">
        <v>63</v>
      </c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</row>
    <row r="99" customFormat="false" ht="25.5" hidden="false" customHeight="true" outlineLevel="0" collapsed="false">
      <c r="A99" s="26" t="s">
        <v>64</v>
      </c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</row>
    <row r="100" customFormat="false" ht="25.5" hidden="false" customHeight="true" outlineLevel="0" collapsed="false">
      <c r="A100" s="26" t="s">
        <v>65</v>
      </c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</row>
    <row r="101" customFormat="false" ht="25.5" hidden="false" customHeight="true" outlineLevel="0" collapsed="false">
      <c r="A101" s="26" t="s">
        <v>66</v>
      </c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</row>
    <row r="102" customFormat="false" ht="25.5" hidden="false" customHeight="true" outlineLevel="0" collapsed="false">
      <c r="A102" s="26" t="s">
        <v>67</v>
      </c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</row>
    <row r="103" customFormat="false" ht="25.5" hidden="false" customHeight="true" outlineLevel="0" collapsed="false">
      <c r="A103" s="26" t="s">
        <v>68</v>
      </c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</row>
    <row r="104" customFormat="false" ht="25.5" hidden="false" customHeight="true" outlineLevel="0" collapsed="false">
      <c r="A104" s="26" t="s">
        <v>69</v>
      </c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</row>
    <row r="105" customFormat="false" ht="25.5" hidden="false" customHeight="true" outlineLevel="0" collapsed="false">
      <c r="A105" s="26" t="s">
        <v>70</v>
      </c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</row>
    <row r="106" customFormat="false" ht="25.5" hidden="false" customHeight="true" outlineLevel="0" collapsed="false">
      <c r="A106" s="26" t="s">
        <v>71</v>
      </c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</row>
  </sheetData>
  <mergeCells count="10">
    <mergeCell ref="A1:L1"/>
    <mergeCell ref="A98:L98"/>
    <mergeCell ref="A99:L99"/>
    <mergeCell ref="A100:L100"/>
    <mergeCell ref="A101:L101"/>
    <mergeCell ref="A102:L102"/>
    <mergeCell ref="A103:L103"/>
    <mergeCell ref="A104:L104"/>
    <mergeCell ref="A105:L105"/>
    <mergeCell ref="A106:L106"/>
  </mergeCells>
  <dataValidations count="1">
    <dataValidation allowBlank="false" errorStyle="stop" operator="between" showDropDown="false" showErrorMessage="false" showInputMessage="false" sqref="B5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3"/>
    <col collapsed="false" customWidth="true" hidden="false" outlineLevel="0" max="12" min="3" style="0" width="13"/>
  </cols>
  <sheetData>
    <row r="1" customFormat="false" ht="15" hidden="false" customHeight="false" outlineLevel="0" collapsed="false">
      <c r="A1" s="1" t="s">
        <v>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73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6"/>
      <c r="B5" s="6"/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8" t="s">
        <v>10</v>
      </c>
      <c r="I5" s="7" t="s">
        <v>11</v>
      </c>
      <c r="J5" s="7" t="s">
        <v>12</v>
      </c>
      <c r="K5" s="7" t="s">
        <v>13</v>
      </c>
      <c r="L5" s="7" t="s">
        <v>14</v>
      </c>
    </row>
    <row r="6" customFormat="false" ht="15" hidden="false" customHeight="false" outlineLevel="0" collapsed="false">
      <c r="A6" s="4" t="s">
        <v>74</v>
      </c>
      <c r="C6" s="19" t="n">
        <v>257637</v>
      </c>
      <c r="D6" s="19" t="n">
        <v>282836</v>
      </c>
      <c r="E6" s="19" t="n">
        <v>307394</v>
      </c>
      <c r="F6" s="19" t="n">
        <v>350018</v>
      </c>
      <c r="G6" s="19" t="n">
        <v>402836</v>
      </c>
      <c r="H6" s="27" t="n">
        <f aca="false">G6*(1+Assumptions!H$14)</f>
        <v>487431.56</v>
      </c>
      <c r="I6" s="28" t="n">
        <f aca="false">H6*(1+Assumptions!I$14)</f>
        <v>570294.9252</v>
      </c>
      <c r="J6" s="28" t="n">
        <f aca="false">I6*(1+Assumptions!J$14)</f>
        <v>650136.214728</v>
      </c>
      <c r="K6" s="28" t="n">
        <f aca="false">J6*(1+Assumptions!K$14)</f>
        <v>728152.56049536</v>
      </c>
      <c r="L6" s="28" t="n">
        <f aca="false">K6*(1+Assumptions!L$14)</f>
        <v>808249.34214985</v>
      </c>
    </row>
    <row r="7" customFormat="false" ht="15" hidden="false" customHeight="false" outlineLevel="0" collapsed="false">
      <c r="A7" s="11" t="s">
        <v>75</v>
      </c>
      <c r="D7" s="29" t="n">
        <f aca="false">D6/C6-1</f>
        <v>0.0978081564371578</v>
      </c>
      <c r="E7" s="29" t="n">
        <f aca="false">E6/D6-1</f>
        <v>0.0868277022726951</v>
      </c>
      <c r="F7" s="29" t="n">
        <f aca="false">F6/E6-1</f>
        <v>0.138662433229016</v>
      </c>
      <c r="G7" s="29" t="n">
        <f aca="false">G6/F6-1</f>
        <v>0.150900810815444</v>
      </c>
      <c r="H7" s="30" t="n">
        <f aca="false">H6/G6-1</f>
        <v>0.21</v>
      </c>
      <c r="I7" s="29" t="n">
        <f aca="false">I6/H6-1</f>
        <v>0.17</v>
      </c>
      <c r="J7" s="29" t="n">
        <f aca="false">J6/I6-1</f>
        <v>0.14</v>
      </c>
      <c r="K7" s="29" t="n">
        <f aca="false">K6/J6-1</f>
        <v>0.12</v>
      </c>
      <c r="L7" s="29" t="n">
        <f aca="false">L6/K6-1</f>
        <v>0.11</v>
      </c>
    </row>
    <row r="8" customFormat="false" ht="15" hidden="false" customHeight="false" outlineLevel="0" collapsed="false">
      <c r="A8" s="3" t="s">
        <v>76</v>
      </c>
    </row>
    <row r="9" customFormat="false" ht="15" hidden="false" customHeight="false" outlineLevel="0" collapsed="false">
      <c r="A9" s="11" t="s">
        <v>77</v>
      </c>
      <c r="C9" s="19" t="n">
        <v>110939</v>
      </c>
      <c r="D9" s="19" t="n">
        <v>126203</v>
      </c>
      <c r="E9" s="19" t="n">
        <v>133332</v>
      </c>
      <c r="F9" s="19" t="n">
        <v>146306</v>
      </c>
      <c r="G9" s="19" t="n">
        <v>162535</v>
      </c>
      <c r="H9" s="27" t="n">
        <f aca="false">H6*Assumptions!H$20+H31*Assumptions!H$59</f>
        <v>190538.5411</v>
      </c>
      <c r="I9" s="28" t="n">
        <f aca="false">I6*Assumptions!I$20+I31*Assumptions!I$59</f>
        <v>242191.6873914</v>
      </c>
      <c r="J9" s="28" t="n">
        <f aca="false">J6*Assumptions!J$20+J31*Assumptions!J$59</f>
        <v>300428.227890615</v>
      </c>
      <c r="K9" s="28" t="n">
        <f aca="false">K6*Assumptions!K$20+K31*Assumptions!K$59</f>
        <v>358030.290485287</v>
      </c>
      <c r="L9" s="28" t="n">
        <f aca="false">L6*Assumptions!L$20+L31*Assumptions!L$59</f>
        <v>410535.818229178</v>
      </c>
    </row>
    <row r="10" customFormat="false" ht="15" hidden="false" customHeight="false" outlineLevel="0" collapsed="false">
      <c r="A10" s="11" t="s">
        <v>78</v>
      </c>
      <c r="C10" s="19" t="n">
        <v>31562</v>
      </c>
      <c r="D10" s="19" t="n">
        <v>39500</v>
      </c>
      <c r="E10" s="19" t="n">
        <v>45427</v>
      </c>
      <c r="F10" s="19" t="n">
        <v>49326</v>
      </c>
      <c r="G10" s="19" t="n">
        <v>61087</v>
      </c>
      <c r="H10" s="27" t="n">
        <f aca="false">H6*Assumptions!H$26+H31*(1-Assumptions!H$59)</f>
        <v>75486.2177</v>
      </c>
      <c r="I10" s="28" t="n">
        <f aca="false">I6*Assumptions!I$26+I31*(1-Assumptions!I$59)</f>
        <v>91449.6055038</v>
      </c>
      <c r="J10" s="28" t="n">
        <f aca="false">J6*Assumptions!J$26+J31*(1-Assumptions!J$59)</f>
        <v>108125.351123229</v>
      </c>
      <c r="K10" s="28" t="n">
        <f aca="false">K6*Assumptions!K$26+K31*(1-Assumptions!K$59)</f>
        <v>124432.296056719</v>
      </c>
      <c r="L10" s="28" t="n">
        <f aca="false">L6*Assumptions!L$26+L31*(1-Assumptions!L$59)</f>
        <v>139912.545364598</v>
      </c>
    </row>
    <row r="11" customFormat="false" ht="15" hidden="false" customHeight="false" outlineLevel="0" collapsed="false">
      <c r="A11" s="11" t="s">
        <v>79</v>
      </c>
      <c r="C11" s="19" t="n">
        <v>22912</v>
      </c>
      <c r="D11" s="19" t="n">
        <v>26567</v>
      </c>
      <c r="E11" s="19" t="n">
        <v>27917</v>
      </c>
      <c r="F11" s="19" t="n">
        <v>27808</v>
      </c>
      <c r="G11" s="19" t="n">
        <v>28693</v>
      </c>
      <c r="H11" s="27" t="n">
        <f aca="false">H6*Assumptions!H$32</f>
        <v>33632.77764</v>
      </c>
      <c r="I11" s="28" t="n">
        <f aca="false">I6*Assumptions!I$32</f>
        <v>38780.0549136</v>
      </c>
      <c r="J11" s="28" t="n">
        <f aca="false">J6*Assumptions!J$32</f>
        <v>43559.126386776</v>
      </c>
      <c r="K11" s="28" t="n">
        <f aca="false">K6*Assumptions!K$32</f>
        <v>48058.0689926938</v>
      </c>
      <c r="L11" s="28" t="n">
        <f aca="false">L6*Assumptions!L$32</f>
        <v>52536.2072397402</v>
      </c>
    </row>
    <row r="12" customFormat="false" ht="15" hidden="false" customHeight="false" outlineLevel="0" collapsed="false">
      <c r="A12" s="11" t="s">
        <v>80</v>
      </c>
      <c r="C12" s="19" t="n">
        <v>13510</v>
      </c>
      <c r="D12" s="19" t="n">
        <v>15724</v>
      </c>
      <c r="E12" s="19" t="n">
        <v>16425</v>
      </c>
      <c r="F12" s="19" t="n">
        <v>14188</v>
      </c>
      <c r="G12" s="19" t="n">
        <v>21482</v>
      </c>
      <c r="H12" s="27" t="n">
        <f aca="false">H6*Assumptions!H$38</f>
        <v>22909.28332</v>
      </c>
      <c r="I12" s="28" t="n">
        <f aca="false">I6*Assumptions!I$38</f>
        <v>25663.271634</v>
      </c>
      <c r="J12" s="28" t="n">
        <f aca="false">J6*Assumptions!J$38</f>
        <v>28605.993448032</v>
      </c>
      <c r="K12" s="28" t="n">
        <f aca="false">K6*Assumptions!K$38</f>
        <v>31310.5601013005</v>
      </c>
      <c r="L12" s="28" t="n">
        <f aca="false">L6*Assumptions!L$38</f>
        <v>33946.4723702937</v>
      </c>
    </row>
    <row r="13" customFormat="false" ht="15" hidden="false" customHeight="false" outlineLevel="0" collapsed="false">
      <c r="A13" s="4" t="s">
        <v>81</v>
      </c>
      <c r="C13" s="31" t="n">
        <f aca="false">SUM(C9:C12)</f>
        <v>178923</v>
      </c>
      <c r="D13" s="31" t="n">
        <f aca="false">SUM(D9:D12)</f>
        <v>207994</v>
      </c>
      <c r="E13" s="31" t="n">
        <f aca="false">SUM(E9:E12)</f>
        <v>223101</v>
      </c>
      <c r="F13" s="31" t="n">
        <f aca="false">SUM(F9:F12)</f>
        <v>237628</v>
      </c>
      <c r="G13" s="31" t="n">
        <f aca="false">SUM(G9:G12)</f>
        <v>273797</v>
      </c>
      <c r="H13" s="32" t="n">
        <f aca="false">SUM(H9:H12)</f>
        <v>322566.81976</v>
      </c>
      <c r="I13" s="31" t="n">
        <f aca="false">SUM(I9:I12)</f>
        <v>398084.6194428</v>
      </c>
      <c r="J13" s="31" t="n">
        <f aca="false">SUM(J9:J12)</f>
        <v>480718.698848652</v>
      </c>
      <c r="K13" s="31" t="n">
        <f aca="false">SUM(K9:K12)</f>
        <v>561831.215636001</v>
      </c>
      <c r="L13" s="31" t="n">
        <f aca="false">SUM(L9:L12)</f>
        <v>636931.04320381</v>
      </c>
    </row>
    <row r="14" customFormat="false" ht="15" hidden="false" customHeight="false" outlineLevel="0" collapsed="false">
      <c r="A14" s="4" t="s">
        <v>82</v>
      </c>
      <c r="C14" s="31" t="n">
        <f aca="false">C6-C13</f>
        <v>78714</v>
      </c>
      <c r="D14" s="31" t="n">
        <f aca="false">D6-D13</f>
        <v>74842</v>
      </c>
      <c r="E14" s="31" t="n">
        <f aca="false">E6-E13</f>
        <v>84293</v>
      </c>
      <c r="F14" s="31" t="n">
        <f aca="false">F6-F13</f>
        <v>112390</v>
      </c>
      <c r="G14" s="31" t="n">
        <f aca="false">G6-G13</f>
        <v>129039</v>
      </c>
      <c r="H14" s="32" t="n">
        <f aca="false">H6-H13</f>
        <v>164864.74024</v>
      </c>
      <c r="I14" s="31" t="n">
        <f aca="false">I6-I13</f>
        <v>172210.3057572</v>
      </c>
      <c r="J14" s="31" t="n">
        <f aca="false">J6-J13</f>
        <v>169417.515879348</v>
      </c>
      <c r="K14" s="31" t="n">
        <f aca="false">K6-K13</f>
        <v>166321.344859359</v>
      </c>
      <c r="L14" s="31" t="n">
        <f aca="false">L6-L13</f>
        <v>171318.29894604</v>
      </c>
    </row>
    <row r="15" customFormat="false" ht="15" hidden="false" customHeight="false" outlineLevel="0" collapsed="false">
      <c r="A15" s="11" t="s">
        <v>83</v>
      </c>
      <c r="C15" s="29" t="n">
        <f aca="false">C14/C6</f>
        <v>0.305522886852432</v>
      </c>
      <c r="D15" s="29" t="n">
        <f aca="false">D14/D6</f>
        <v>0.26461270842467</v>
      </c>
      <c r="E15" s="29" t="n">
        <f aca="false">E14/E6</f>
        <v>0.274218104452266</v>
      </c>
      <c r="F15" s="29" t="n">
        <f aca="false">F14/F6</f>
        <v>0.321097772114577</v>
      </c>
      <c r="G15" s="29" t="n">
        <f aca="false">G14/G6</f>
        <v>0.3203263859238</v>
      </c>
      <c r="H15" s="30" t="n">
        <f aca="false">H14/H6</f>
        <v>0.338231566786525</v>
      </c>
      <c r="I15" s="29" t="n">
        <f aca="false">I14/I6</f>
        <v>0.301967101840871</v>
      </c>
      <c r="J15" s="29" t="n">
        <f aca="false">J14/J6</f>
        <v>0.26058772306697</v>
      </c>
      <c r="K15" s="29" t="n">
        <f aca="false">K14/K6</f>
        <v>0.228415518783881</v>
      </c>
      <c r="L15" s="29" t="n">
        <f aca="false">L14/L6</f>
        <v>0.211962187918833</v>
      </c>
    </row>
    <row r="17" customFormat="false" ht="15" hidden="false" customHeight="false" outlineLevel="0" collapsed="false">
      <c r="A17" s="11" t="s">
        <v>84</v>
      </c>
      <c r="H17" s="33" t="n">
        <f aca="false">Assumptions!H$61*(BS!G7+BS!G8)</f>
        <v>5073.72</v>
      </c>
      <c r="I17" s="34" t="n">
        <f aca="false">Assumptions!I$61*(BS!H7+BS!H8)</f>
        <v>5171.85533110569</v>
      </c>
      <c r="J17" s="34" t="n">
        <f aca="false">Assumptions!J$61*(BS!I7+BS!I8)</f>
        <v>4259.83223089344</v>
      </c>
      <c r="K17" s="34" t="n">
        <f aca="false">Assumptions!K$61*(BS!J7+BS!J8)</f>
        <v>2969.21314566746</v>
      </c>
      <c r="L17" s="34" t="n">
        <f aca="false">Assumptions!L$61*(BS!K7+BS!K8)</f>
        <v>1723.49516931907</v>
      </c>
    </row>
    <row r="18" customFormat="false" ht="15" hidden="false" customHeight="false" outlineLevel="0" collapsed="false">
      <c r="A18" s="11" t="s">
        <v>85</v>
      </c>
      <c r="H18" s="33" t="n">
        <f aca="false">-Assumptions!H$62*BS!G28</f>
        <v>-2001.521</v>
      </c>
      <c r="I18" s="34" t="n">
        <f aca="false">-Assumptions!I$62*BS!H28</f>
        <v>-4456.936</v>
      </c>
      <c r="J18" s="34" t="n">
        <f aca="false">-Assumptions!J$62*BS!I28</f>
        <v>-6084.936</v>
      </c>
      <c r="K18" s="34" t="n">
        <f aca="false">-Assumptions!K$62*BS!J28</f>
        <v>-7798.23</v>
      </c>
      <c r="L18" s="34" t="n">
        <f aca="false">-Assumptions!L$62*BS!K28</f>
        <v>-9058.23</v>
      </c>
    </row>
    <row r="19" customFormat="false" ht="15" hidden="false" customHeight="false" outlineLevel="0" collapsed="false">
      <c r="A19" s="11" t="s">
        <v>86</v>
      </c>
      <c r="H19" s="27" t="n">
        <f aca="false">Assumptions!H$63</f>
        <v>0</v>
      </c>
      <c r="I19" s="28" t="n">
        <f aca="false">Assumptions!I$63</f>
        <v>0</v>
      </c>
      <c r="J19" s="28" t="n">
        <f aca="false">Assumptions!J$63</f>
        <v>0</v>
      </c>
      <c r="K19" s="28" t="n">
        <f aca="false">Assumptions!K$63</f>
        <v>0</v>
      </c>
      <c r="L19" s="28" t="n">
        <f aca="false">Assumptions!L$63</f>
        <v>0</v>
      </c>
    </row>
    <row r="20" customFormat="false" ht="15" hidden="false" customHeight="false" outlineLevel="0" collapsed="false">
      <c r="A20" s="4" t="s">
        <v>87</v>
      </c>
      <c r="C20" s="19" t="n">
        <v>12020</v>
      </c>
      <c r="D20" s="19" t="n">
        <v>-3514</v>
      </c>
      <c r="E20" s="19" t="n">
        <v>1424</v>
      </c>
      <c r="F20" s="19" t="n">
        <v>7425</v>
      </c>
      <c r="G20" s="19" t="n">
        <v>29787</v>
      </c>
      <c r="H20" s="27" t="n">
        <f aca="false">H17+H18+H19</f>
        <v>3072.199</v>
      </c>
      <c r="I20" s="28" t="n">
        <f aca="false">I17+I18+I19</f>
        <v>714.919331105694</v>
      </c>
      <c r="J20" s="28" t="n">
        <f aca="false">J17+J18+J19</f>
        <v>-1825.10376910656</v>
      </c>
      <c r="K20" s="28" t="n">
        <f aca="false">K17+K18+K19</f>
        <v>-4829.01685433254</v>
      </c>
      <c r="L20" s="28" t="n">
        <f aca="false">L17+L18+L19</f>
        <v>-7334.73483068093</v>
      </c>
    </row>
    <row r="21" customFormat="false" ht="15" hidden="false" customHeight="false" outlineLevel="0" collapsed="false">
      <c r="A21" s="4" t="s">
        <v>88</v>
      </c>
      <c r="C21" s="31" t="n">
        <f aca="false">C14+C20</f>
        <v>90734</v>
      </c>
      <c r="D21" s="31" t="n">
        <f aca="false">D14+D20</f>
        <v>71328</v>
      </c>
      <c r="E21" s="31" t="n">
        <f aca="false">E14+E20</f>
        <v>85717</v>
      </c>
      <c r="F21" s="31" t="n">
        <f aca="false">F14+F20</f>
        <v>119815</v>
      </c>
      <c r="G21" s="31" t="n">
        <f aca="false">G14+G20</f>
        <v>158826</v>
      </c>
      <c r="H21" s="32" t="n">
        <f aca="false">H14+H20</f>
        <v>167936.93924</v>
      </c>
      <c r="I21" s="31" t="n">
        <f aca="false">I14+I20</f>
        <v>172925.225088306</v>
      </c>
      <c r="J21" s="31" t="n">
        <f aca="false">J14+J20</f>
        <v>167592.412110241</v>
      </c>
      <c r="K21" s="31" t="n">
        <f aca="false">K14+K20</f>
        <v>161492.328005027</v>
      </c>
      <c r="L21" s="31" t="n">
        <f aca="false">L14+L20</f>
        <v>163983.564115359</v>
      </c>
    </row>
    <row r="22" customFormat="false" ht="15" hidden="false" customHeight="false" outlineLevel="0" collapsed="false">
      <c r="A22" s="11" t="s">
        <v>89</v>
      </c>
      <c r="C22" s="19" t="n">
        <v>14701</v>
      </c>
      <c r="D22" s="19" t="n">
        <v>11356</v>
      </c>
      <c r="E22" s="19" t="n">
        <v>11922</v>
      </c>
      <c r="F22" s="19" t="n">
        <v>19697</v>
      </c>
      <c r="G22" s="19" t="n">
        <v>26656</v>
      </c>
      <c r="H22" s="27" t="n">
        <f aca="false">H21*Assumptions!H$56</f>
        <v>31908.0184556</v>
      </c>
      <c r="I22" s="28" t="n">
        <f aca="false">I21*Assumptions!I$56</f>
        <v>32855.7927667781</v>
      </c>
      <c r="J22" s="28" t="n">
        <f aca="false">J21*Assumptions!J$56</f>
        <v>31842.5583009459</v>
      </c>
      <c r="K22" s="28" t="n">
        <f aca="false">K21*Assumptions!K$56</f>
        <v>30683.542320955</v>
      </c>
      <c r="L22" s="28" t="n">
        <f aca="false">L21*Assumptions!L$56</f>
        <v>31156.8771819182</v>
      </c>
    </row>
    <row r="23" customFormat="false" ht="15" hidden="false" customHeight="false" outlineLevel="0" collapsed="false">
      <c r="A23" s="11" t="s">
        <v>90</v>
      </c>
      <c r="C23" s="29" t="n">
        <f aca="false">C22/C21</f>
        <v>0.162023056406639</v>
      </c>
      <c r="D23" s="29" t="n">
        <f aca="false">D22/D21</f>
        <v>0.159208165096456</v>
      </c>
      <c r="E23" s="29" t="n">
        <f aca="false">E22/E21</f>
        <v>0.139085595622805</v>
      </c>
      <c r="F23" s="29" t="n">
        <f aca="false">F22/F21</f>
        <v>0.16439510912657</v>
      </c>
      <c r="G23" s="29" t="n">
        <f aca="false">G22/G21</f>
        <v>0.167831463362422</v>
      </c>
      <c r="H23" s="30" t="n">
        <f aca="false">H22/H21</f>
        <v>0.19</v>
      </c>
      <c r="I23" s="29" t="n">
        <f aca="false">I22/I21</f>
        <v>0.19</v>
      </c>
      <c r="J23" s="29" t="n">
        <f aca="false">J22/J21</f>
        <v>0.19</v>
      </c>
      <c r="K23" s="29" t="n">
        <f aca="false">K22/K21</f>
        <v>0.19</v>
      </c>
      <c r="L23" s="29" t="n">
        <f aca="false">L22/L21</f>
        <v>0.19</v>
      </c>
    </row>
    <row r="24" customFormat="false" ht="15" hidden="false" customHeight="false" outlineLevel="0" collapsed="false">
      <c r="A24" s="4" t="s">
        <v>91</v>
      </c>
      <c r="C24" s="31" t="n">
        <f aca="false">C21-C22</f>
        <v>76033</v>
      </c>
      <c r="D24" s="31" t="n">
        <f aca="false">D21-D22</f>
        <v>59972</v>
      </c>
      <c r="E24" s="31" t="n">
        <f aca="false">E21-E22</f>
        <v>73795</v>
      </c>
      <c r="F24" s="31" t="n">
        <f aca="false">F21-F22</f>
        <v>100118</v>
      </c>
      <c r="G24" s="31" t="n">
        <f aca="false">G21-G22</f>
        <v>132170</v>
      </c>
      <c r="H24" s="32" t="n">
        <f aca="false">H21-H22</f>
        <v>136028.9207844</v>
      </c>
      <c r="I24" s="31" t="n">
        <f aca="false">I21-I22</f>
        <v>140069.432321528</v>
      </c>
      <c r="J24" s="31" t="n">
        <f aca="false">J21-J22</f>
        <v>135749.853809296</v>
      </c>
      <c r="K24" s="31" t="n">
        <f aca="false">K21-K22</f>
        <v>130808.785684072</v>
      </c>
      <c r="L24" s="31" t="n">
        <f aca="false">L21-L22</f>
        <v>132826.686933441</v>
      </c>
    </row>
    <row r="25" customFormat="false" ht="15" hidden="false" customHeight="false" outlineLevel="0" collapsed="false">
      <c r="A25" s="11" t="s">
        <v>92</v>
      </c>
      <c r="C25" s="19" t="n">
        <v>0</v>
      </c>
      <c r="D25" s="19" t="n">
        <v>0</v>
      </c>
      <c r="E25" s="19" t="n">
        <v>0</v>
      </c>
      <c r="F25" s="19" t="n">
        <v>0</v>
      </c>
      <c r="G25" s="19" t="n">
        <v>0</v>
      </c>
      <c r="H25" s="27" t="n">
        <f aca="false">Assumptions!H$94</f>
        <v>400</v>
      </c>
      <c r="I25" s="28" t="n">
        <f aca="false">Assumptions!I$94</f>
        <v>1188</v>
      </c>
      <c r="J25" s="28" t="n">
        <f aca="false">Assumptions!J$94</f>
        <v>1188</v>
      </c>
      <c r="K25" s="28" t="n">
        <f aca="false">Assumptions!K$94</f>
        <v>1188</v>
      </c>
      <c r="L25" s="28" t="n">
        <f aca="false">Assumptions!L$94</f>
        <v>1188</v>
      </c>
    </row>
    <row r="26" customFormat="false" ht="15" hidden="false" customHeight="false" outlineLevel="0" collapsed="false">
      <c r="A26" s="4" t="s">
        <v>93</v>
      </c>
      <c r="C26" s="31" t="n">
        <f aca="false">C24-C25</f>
        <v>76033</v>
      </c>
      <c r="D26" s="31" t="n">
        <f aca="false">D24-D25</f>
        <v>59972</v>
      </c>
      <c r="E26" s="31" t="n">
        <f aca="false">E24-E25</f>
        <v>73795</v>
      </c>
      <c r="F26" s="31" t="n">
        <f aca="false">F24-F25</f>
        <v>100118</v>
      </c>
      <c r="G26" s="31" t="n">
        <f aca="false">G24-G25</f>
        <v>132170</v>
      </c>
      <c r="H26" s="32" t="n">
        <f aca="false">H24-H25</f>
        <v>135628.9207844</v>
      </c>
      <c r="I26" s="31" t="n">
        <f aca="false">I24-I25</f>
        <v>138881.432321528</v>
      </c>
      <c r="J26" s="31" t="n">
        <f aca="false">J24-J25</f>
        <v>134561.853809296</v>
      </c>
      <c r="K26" s="31" t="n">
        <f aca="false">K24-K25</f>
        <v>129620.785684072</v>
      </c>
      <c r="L26" s="31" t="n">
        <f aca="false">L24-L25</f>
        <v>131638.686933441</v>
      </c>
    </row>
    <row r="28" customFormat="false" ht="15" hidden="false" customHeight="false" outlineLevel="0" collapsed="false">
      <c r="A28" s="11" t="s">
        <v>94</v>
      </c>
      <c r="C28" s="19" t="n">
        <v>13553</v>
      </c>
      <c r="D28" s="19" t="n">
        <v>13159</v>
      </c>
      <c r="E28" s="19" t="n">
        <v>12722</v>
      </c>
      <c r="F28" s="19" t="n">
        <v>12447</v>
      </c>
      <c r="G28" s="19" t="n">
        <v>12230</v>
      </c>
      <c r="H28" s="27" t="n">
        <f aca="false">G28*(1+Assumptions!H$95)</f>
        <v>12450.14</v>
      </c>
      <c r="I28" s="28" t="n">
        <f aca="false">H28*(1+Assumptions!I$95)</f>
        <v>12562.19126</v>
      </c>
      <c r="J28" s="28" t="n">
        <f aca="false">I28*(1+Assumptions!J$95)</f>
        <v>12599.87783378</v>
      </c>
      <c r="K28" s="28" t="n">
        <f aca="false">J28*(1+Assumptions!K$95)</f>
        <v>12574.6780781124</v>
      </c>
      <c r="L28" s="28" t="n">
        <f aca="false">K28*(1+Assumptions!L$95)</f>
        <v>12511.8046877219</v>
      </c>
    </row>
    <row r="29" customFormat="false" ht="15" hidden="false" customHeight="false" outlineLevel="0" collapsed="false">
      <c r="A29" s="4" t="s">
        <v>95</v>
      </c>
      <c r="C29" s="35" t="n">
        <f aca="false">C26/C28</f>
        <v>5.61004943554933</v>
      </c>
      <c r="D29" s="35" t="n">
        <f aca="false">D26/D28</f>
        <v>4.55748917090964</v>
      </c>
      <c r="E29" s="35" t="n">
        <f aca="false">E26/E28</f>
        <v>5.80058166954881</v>
      </c>
      <c r="F29" s="35" t="n">
        <f aca="false">F26/F28</f>
        <v>8.04354462922793</v>
      </c>
      <c r="G29" s="35" t="n">
        <f aca="false">G26/G28</f>
        <v>10.807031888798</v>
      </c>
      <c r="H29" s="36" t="n">
        <f aca="false">H26/H28</f>
        <v>10.8937667194425</v>
      </c>
      <c r="I29" s="35" t="n">
        <f aca="false">I26/I28</f>
        <v>11.0555100974898</v>
      </c>
      <c r="J29" s="35" t="n">
        <f aca="false">J26/J28</f>
        <v>10.6796157537765</v>
      </c>
      <c r="K29" s="35" t="n">
        <f aca="false">K26/K28</f>
        <v>10.3080798473633</v>
      </c>
      <c r="L29" s="35" t="n">
        <f aca="false">L26/L28</f>
        <v>10.5211590349249</v>
      </c>
    </row>
    <row r="31" customFormat="false" ht="15" hidden="false" customHeight="false" outlineLevel="0" collapsed="false">
      <c r="A31" s="11" t="s">
        <v>96</v>
      </c>
      <c r="C31" s="19" t="n">
        <v>10273</v>
      </c>
      <c r="D31" s="19" t="n">
        <v>13475</v>
      </c>
      <c r="E31" s="19" t="n">
        <v>11946</v>
      </c>
      <c r="F31" s="19" t="n">
        <v>15311</v>
      </c>
      <c r="G31" s="19" t="n">
        <v>21136</v>
      </c>
      <c r="H31" s="33" t="n">
        <f aca="false">Schedules!H8</f>
        <v>32057.61</v>
      </c>
      <c r="I31" s="34" t="n">
        <f aca="false">Schedules!I8</f>
        <v>62180.9085</v>
      </c>
      <c r="J31" s="34" t="n">
        <f aca="false">Schedules!J8</f>
        <v>101039.1494475</v>
      </c>
      <c r="K31" s="34" t="n">
        <f aca="false">Schedules!K8</f>
        <v>140230.883109187</v>
      </c>
      <c r="L31" s="34" t="n">
        <f aca="false">Schedules!L8</f>
        <v>172995.920809796</v>
      </c>
    </row>
    <row r="32" customFormat="false" ht="15" hidden="false" customHeight="false" outlineLevel="0" collapsed="false">
      <c r="A32" s="11" t="s">
        <v>97</v>
      </c>
      <c r="C32" s="28" t="n">
        <f aca="false">C14+C31</f>
        <v>88987</v>
      </c>
      <c r="D32" s="28" t="n">
        <f aca="false">D14+D31</f>
        <v>88317</v>
      </c>
      <c r="E32" s="28" t="n">
        <f aca="false">E14+E31</f>
        <v>96239</v>
      </c>
      <c r="F32" s="28" t="n">
        <f aca="false">F14+F31</f>
        <v>127701</v>
      </c>
      <c r="G32" s="28" t="n">
        <f aca="false">G14+G31</f>
        <v>150175</v>
      </c>
      <c r="H32" s="27" t="n">
        <f aca="false">H14+H31</f>
        <v>196922.35024</v>
      </c>
      <c r="I32" s="28" t="n">
        <f aca="false">I14+I31</f>
        <v>234391.2142572</v>
      </c>
      <c r="J32" s="28" t="n">
        <f aca="false">J14+J31</f>
        <v>270456.665326848</v>
      </c>
      <c r="K32" s="28" t="n">
        <f aca="false">K14+K31</f>
        <v>306552.227968547</v>
      </c>
      <c r="L32" s="28" t="n">
        <f aca="false">L14+L31</f>
        <v>344314.219755836</v>
      </c>
    </row>
    <row r="33" customFormat="false" ht="15" hidden="false" customHeight="false" outlineLevel="0" collapsed="false">
      <c r="A33" s="11" t="s">
        <v>98</v>
      </c>
      <c r="C33" s="19" t="n">
        <v>15376</v>
      </c>
      <c r="D33" s="19" t="n">
        <v>19362</v>
      </c>
      <c r="E33" s="19" t="n">
        <v>22460</v>
      </c>
      <c r="F33" s="19" t="n">
        <v>22785</v>
      </c>
      <c r="G33" s="19" t="n">
        <v>24953</v>
      </c>
      <c r="H33" s="27" t="n">
        <f aca="false">H6*Assumptions!H$60</f>
        <v>30220.75672</v>
      </c>
      <c r="I33" s="28" t="n">
        <f aca="false">I6*Assumptions!I$60</f>
        <v>34217.695512</v>
      </c>
      <c r="J33" s="28" t="n">
        <f aca="false">J6*Assumptions!J$60</f>
        <v>37707.900454224</v>
      </c>
      <c r="K33" s="28" t="n">
        <f aca="false">K6*Assumptions!K$60</f>
        <v>40776.5433877402</v>
      </c>
      <c r="L33" s="28" t="n">
        <f aca="false">L6*Assumptions!L$60</f>
        <v>44453.7138182417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3"/>
    <col collapsed="false" customWidth="true" hidden="false" outlineLevel="0" max="12" min="3" style="0" width="13"/>
  </cols>
  <sheetData>
    <row r="1" customFormat="false" ht="15" hidden="false" customHeight="false" outlineLevel="0" collapsed="false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100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6"/>
      <c r="B5" s="6"/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8" t="s">
        <v>10</v>
      </c>
      <c r="I5" s="7" t="s">
        <v>11</v>
      </c>
      <c r="J5" s="7" t="s">
        <v>12</v>
      </c>
      <c r="K5" s="7" t="s">
        <v>13</v>
      </c>
      <c r="L5" s="7" t="s">
        <v>14</v>
      </c>
    </row>
    <row r="6" customFormat="false" ht="15" hidden="false" customHeight="false" outlineLevel="0" collapsed="false">
      <c r="A6" s="4" t="s">
        <v>101</v>
      </c>
    </row>
    <row r="7" customFormat="false" ht="15" hidden="false" customHeight="false" outlineLevel="0" collapsed="false">
      <c r="A7" s="11" t="s">
        <v>102</v>
      </c>
      <c r="C7" s="19" t="n">
        <v>20945</v>
      </c>
      <c r="D7" s="19" t="n">
        <v>21879</v>
      </c>
      <c r="E7" s="19" t="n">
        <v>24048</v>
      </c>
      <c r="F7" s="19" t="n">
        <v>23466</v>
      </c>
      <c r="G7" s="19" t="n">
        <v>30708</v>
      </c>
      <c r="H7" s="33" t="n">
        <f aca="false">CF!H47</f>
        <v>-13898.5439182712</v>
      </c>
      <c r="I7" s="34" t="n">
        <f aca="false">CF!I47</f>
        <v>-11671.3269196268</v>
      </c>
      <c r="J7" s="34" t="n">
        <f aca="false">CF!J47</f>
        <v>-30165.3386952153</v>
      </c>
      <c r="K7" s="34" t="n">
        <f aca="false">CF!K47</f>
        <v>-55757.2808765979</v>
      </c>
      <c r="L7" s="34" t="n">
        <f aca="false">CF!L47</f>
        <v>-82879.4855526013</v>
      </c>
    </row>
    <row r="8" customFormat="false" ht="15" hidden="false" customHeight="false" outlineLevel="0" collapsed="false">
      <c r="A8" s="11" t="s">
        <v>103</v>
      </c>
      <c r="C8" s="19" t="n">
        <v>118704</v>
      </c>
      <c r="D8" s="19" t="n">
        <v>91883</v>
      </c>
      <c r="E8" s="19" t="n">
        <v>86868</v>
      </c>
      <c r="F8" s="19" t="n">
        <v>72191</v>
      </c>
      <c r="G8" s="19" t="n">
        <v>96135</v>
      </c>
      <c r="H8" s="33" t="n">
        <f aca="false">Assumptions!H$79</f>
        <v>150000</v>
      </c>
      <c r="I8" s="34" t="n">
        <f aca="false">Assumptions!I$79</f>
        <v>130000</v>
      </c>
      <c r="J8" s="34" t="n">
        <f aca="false">Assumptions!J$79</f>
        <v>115000</v>
      </c>
      <c r="K8" s="34" t="n">
        <f aca="false">Assumptions!K$79</f>
        <v>105000</v>
      </c>
      <c r="L8" s="34" t="n">
        <f aca="false">Assumptions!L$79</f>
        <v>105000</v>
      </c>
    </row>
    <row r="9" customFormat="false" ht="15" hidden="false" customHeight="false" outlineLevel="0" collapsed="false">
      <c r="A9" s="11" t="s">
        <v>104</v>
      </c>
      <c r="C9" s="19" t="n">
        <v>39304</v>
      </c>
      <c r="D9" s="19" t="n">
        <v>40258</v>
      </c>
      <c r="E9" s="19" t="n">
        <v>47964</v>
      </c>
      <c r="F9" s="19" t="n">
        <v>52340</v>
      </c>
      <c r="G9" s="19" t="n">
        <v>62886</v>
      </c>
      <c r="H9" s="27" t="n">
        <f aca="false">IS!H6*Assumptions!H$66/365</f>
        <v>76119.4490958904</v>
      </c>
      <c r="I9" s="28" t="n">
        <f aca="false">IS!I6*Assumptions!I$66/365</f>
        <v>89059.7554421918</v>
      </c>
      <c r="J9" s="28" t="n">
        <f aca="false">IS!J6*Assumptions!J$66/365</f>
        <v>101528.121204099</v>
      </c>
      <c r="K9" s="28" t="n">
        <f aca="false">IS!K6*Assumptions!K$66/365</f>
        <v>113711.49574859</v>
      </c>
      <c r="L9" s="28" t="n">
        <f aca="false">IS!L6*Assumptions!L$66/365</f>
        <v>126219.760280935</v>
      </c>
    </row>
    <row r="10" customFormat="false" ht="15" hidden="false" customHeight="false" outlineLevel="0" collapsed="false">
      <c r="A10" s="11" t="s">
        <v>105</v>
      </c>
      <c r="C10" s="19" t="n">
        <v>1170</v>
      </c>
      <c r="D10" s="19" t="n">
        <v>0</v>
      </c>
      <c r="E10" s="19" t="n">
        <v>0</v>
      </c>
      <c r="F10" s="19" t="n">
        <v>0</v>
      </c>
      <c r="G10" s="19" t="n">
        <v>2439</v>
      </c>
      <c r="H10" s="27" t="n">
        <f aca="false">IS!H9*Assumptions!H$68</f>
        <v>9526.927055</v>
      </c>
      <c r="I10" s="28" t="n">
        <f aca="false">IS!I9*Assumptions!I$68</f>
        <v>13320.542806527</v>
      </c>
      <c r="J10" s="28" t="n">
        <f aca="false">IS!J9*Assumptions!J$68</f>
        <v>17424.8372176557</v>
      </c>
      <c r="K10" s="28" t="n">
        <f aca="false">IS!K9*Assumptions!K$68</f>
        <v>21481.8174291172</v>
      </c>
      <c r="L10" s="28" t="n">
        <f aca="false">IS!L9*Assumptions!L$68</f>
        <v>24632.1490937507</v>
      </c>
    </row>
    <row r="11" customFormat="false" ht="15" hidden="false" customHeight="false" outlineLevel="0" collapsed="false">
      <c r="A11" s="11" t="s">
        <v>106</v>
      </c>
      <c r="C11" s="19" t="n">
        <v>8020</v>
      </c>
      <c r="D11" s="19" t="n">
        <v>10775</v>
      </c>
      <c r="E11" s="19" t="n">
        <v>12650</v>
      </c>
      <c r="F11" s="19" t="n">
        <v>15714</v>
      </c>
      <c r="G11" s="19" t="n">
        <v>13870</v>
      </c>
      <c r="H11" s="27" t="n">
        <f aca="false">IS!H6*Assumptions!H$69</f>
        <v>19497.2624</v>
      </c>
      <c r="I11" s="28" t="n">
        <f aca="false">IS!I6*Assumptions!I$69</f>
        <v>22811.797008</v>
      </c>
      <c r="J11" s="28" t="n">
        <f aca="false">IS!J6*Assumptions!J$69</f>
        <v>26005.44858912</v>
      </c>
      <c r="K11" s="28" t="n">
        <f aca="false">IS!K6*Assumptions!K$69</f>
        <v>29126.1024198144</v>
      </c>
      <c r="L11" s="28" t="n">
        <f aca="false">IS!L6*Assumptions!L$69</f>
        <v>32329.973685994</v>
      </c>
    </row>
    <row r="12" customFormat="false" ht="15" hidden="false" customHeight="false" outlineLevel="0" collapsed="false">
      <c r="A12" s="4" t="s">
        <v>107</v>
      </c>
      <c r="C12" s="31" t="n">
        <f aca="false">SUM(C7:C11)</f>
        <v>188143</v>
      </c>
      <c r="D12" s="31" t="n">
        <f aca="false">SUM(D7:D11)</f>
        <v>164795</v>
      </c>
      <c r="E12" s="31" t="n">
        <f aca="false">SUM(E7:E11)</f>
        <v>171530</v>
      </c>
      <c r="F12" s="31" t="n">
        <f aca="false">SUM(F7:F11)</f>
        <v>163711</v>
      </c>
      <c r="G12" s="31" t="n">
        <f aca="false">SUM(G7:G11)</f>
        <v>206038</v>
      </c>
      <c r="H12" s="32" t="n">
        <f aca="false">SUM(H7:H11)</f>
        <v>241245.094632619</v>
      </c>
      <c r="I12" s="31" t="n">
        <f aca="false">SUM(I7:I11)</f>
        <v>243520.768337092</v>
      </c>
      <c r="J12" s="31" t="n">
        <f aca="false">SUM(J7:J11)</f>
        <v>229793.068315659</v>
      </c>
      <c r="K12" s="31" t="n">
        <f aca="false">SUM(K7:K11)</f>
        <v>213562.134720924</v>
      </c>
      <c r="L12" s="31" t="n">
        <f aca="false">SUM(L7:L11)</f>
        <v>205302.397508079</v>
      </c>
    </row>
    <row r="13" customFormat="false" ht="15" hidden="false" customHeight="false" outlineLevel="0" collapsed="false">
      <c r="A13" s="11" t="s">
        <v>108</v>
      </c>
      <c r="C13" s="19" t="n">
        <v>29549</v>
      </c>
      <c r="D13" s="19" t="n">
        <v>30492</v>
      </c>
      <c r="E13" s="19" t="n">
        <v>31008</v>
      </c>
      <c r="F13" s="19" t="n">
        <v>37982</v>
      </c>
      <c r="G13" s="19" t="n">
        <v>68687</v>
      </c>
      <c r="H13" s="27" t="n">
        <f aca="false">G13+Assumptions!H$80+Assumptions!H$63</f>
        <v>90738</v>
      </c>
      <c r="I13" s="28" t="n">
        <f aca="false">H13+Assumptions!I$80+Assumptions!I$63</f>
        <v>95738</v>
      </c>
      <c r="J13" s="28" t="n">
        <f aca="false">I13+Assumptions!J$80+Assumptions!J$63</f>
        <v>100738</v>
      </c>
      <c r="K13" s="28" t="n">
        <f aca="false">J13+Assumptions!K$80+Assumptions!K$63</f>
        <v>105738</v>
      </c>
      <c r="L13" s="28" t="n">
        <f aca="false">K13+Assumptions!L$80+Assumptions!L$63</f>
        <v>110738</v>
      </c>
    </row>
    <row r="14" customFormat="false" ht="15" hidden="false" customHeight="false" outlineLevel="0" collapsed="false">
      <c r="A14" s="11" t="s">
        <v>109</v>
      </c>
      <c r="C14" s="19" t="n">
        <v>1284</v>
      </c>
      <c r="D14" s="19" t="n">
        <v>5261</v>
      </c>
      <c r="E14" s="19" t="n">
        <v>12169</v>
      </c>
      <c r="F14" s="19" t="n">
        <v>17180</v>
      </c>
      <c r="G14" s="19" t="n">
        <v>9113</v>
      </c>
      <c r="H14" s="33" t="n">
        <f aca="false">Assumptions!H$82</f>
        <v>1448</v>
      </c>
      <c r="I14" s="34" t="n">
        <f aca="false">Assumptions!I$82</f>
        <v>1448</v>
      </c>
      <c r="J14" s="34" t="n">
        <f aca="false">Assumptions!J$82</f>
        <v>1448</v>
      </c>
      <c r="K14" s="34" t="n">
        <f aca="false">Assumptions!K$82</f>
        <v>1448</v>
      </c>
      <c r="L14" s="34" t="n">
        <f aca="false">Assumptions!L$82</f>
        <v>1448</v>
      </c>
    </row>
    <row r="15" customFormat="false" ht="15" hidden="false" customHeight="false" outlineLevel="0" collapsed="false">
      <c r="A15" s="11" t="s">
        <v>110</v>
      </c>
      <c r="C15" s="19" t="n">
        <v>97599</v>
      </c>
      <c r="D15" s="19" t="n">
        <v>112668</v>
      </c>
      <c r="E15" s="19" t="n">
        <v>134345</v>
      </c>
      <c r="F15" s="19" t="n">
        <v>171036</v>
      </c>
      <c r="G15" s="19" t="n">
        <v>246597</v>
      </c>
      <c r="H15" s="33" t="n">
        <f aca="false">Schedules!H10</f>
        <v>414539.39</v>
      </c>
      <c r="I15" s="34" t="n">
        <f aca="false">Schedules!I10</f>
        <v>612358.4815</v>
      </c>
      <c r="J15" s="34" t="n">
        <f aca="false">Schedules!J10</f>
        <v>801319.3320525</v>
      </c>
      <c r="K15" s="34" t="n">
        <f aca="false">Schedules!K10</f>
        <v>961088.448943313</v>
      </c>
      <c r="L15" s="34" t="n">
        <f aca="false">Schedules!L10</f>
        <v>1093092.52813352</v>
      </c>
    </row>
    <row r="16" customFormat="false" ht="15" hidden="false" customHeight="false" outlineLevel="0" collapsed="false">
      <c r="A16" s="11" t="s">
        <v>111</v>
      </c>
      <c r="C16" s="19" t="n">
        <v>12959</v>
      </c>
      <c r="D16" s="19" t="n">
        <v>14381</v>
      </c>
      <c r="E16" s="19" t="n">
        <v>14091</v>
      </c>
      <c r="F16" s="19" t="n">
        <v>13588</v>
      </c>
      <c r="G16" s="19" t="n">
        <v>15221</v>
      </c>
      <c r="H16" s="27" t="n">
        <f aca="false">IS!H6*Assumptions!H$74</f>
        <v>18034.96772</v>
      </c>
      <c r="I16" s="28" t="n">
        <f aca="false">IS!I6*Assumptions!I$74</f>
        <v>21100.9122324</v>
      </c>
      <c r="J16" s="28" t="n">
        <f aca="false">IS!J6*Assumptions!J$74</f>
        <v>24055.039944936</v>
      </c>
      <c r="K16" s="28" t="n">
        <f aca="false">IS!K6*Assumptions!K$74</f>
        <v>26941.6447383283</v>
      </c>
      <c r="L16" s="28" t="n">
        <f aca="false">IS!L6*Assumptions!L$74</f>
        <v>29905.2256595444</v>
      </c>
    </row>
    <row r="17" customFormat="false" ht="15" hidden="false" customHeight="false" outlineLevel="0" collapsed="false">
      <c r="A17" s="11" t="s">
        <v>112</v>
      </c>
      <c r="C17" s="19" t="n">
        <v>22956</v>
      </c>
      <c r="D17" s="19" t="n">
        <v>28960</v>
      </c>
      <c r="E17" s="19" t="n">
        <v>29198</v>
      </c>
      <c r="F17" s="19" t="n">
        <v>31885</v>
      </c>
      <c r="G17" s="19" t="n">
        <v>34663</v>
      </c>
      <c r="H17" s="27" t="n">
        <f aca="false">G17+Assumptions!H$81</f>
        <v>68360</v>
      </c>
      <c r="I17" s="28" t="n">
        <f aca="false">H17+Assumptions!I$81</f>
        <v>70360</v>
      </c>
      <c r="J17" s="28" t="n">
        <f aca="false">I17+Assumptions!J$81</f>
        <v>72360</v>
      </c>
      <c r="K17" s="28" t="n">
        <f aca="false">J17+Assumptions!K$81</f>
        <v>74360</v>
      </c>
      <c r="L17" s="28" t="n">
        <f aca="false">K17+Assumptions!L$81</f>
        <v>76360</v>
      </c>
    </row>
    <row r="18" customFormat="false" ht="15" hidden="false" customHeight="false" outlineLevel="0" collapsed="false">
      <c r="A18" s="11" t="s">
        <v>113</v>
      </c>
      <c r="C18" s="19" t="n">
        <v>6778</v>
      </c>
      <c r="D18" s="19" t="n">
        <v>8707</v>
      </c>
      <c r="E18" s="19" t="n">
        <v>10051</v>
      </c>
      <c r="F18" s="19" t="n">
        <v>14874</v>
      </c>
      <c r="G18" s="19" t="n">
        <v>14962</v>
      </c>
      <c r="H18" s="27" t="n">
        <f aca="false">IS!H6*Assumptions!H$76</f>
        <v>21934.4202</v>
      </c>
      <c r="I18" s="28" t="n">
        <f aca="false">IS!I6*Assumptions!I$76</f>
        <v>25663.271634</v>
      </c>
      <c r="J18" s="28" t="n">
        <f aca="false">IS!J6*Assumptions!J$76</f>
        <v>29256.12966276</v>
      </c>
      <c r="K18" s="28" t="n">
        <f aca="false">IS!K6*Assumptions!K$76</f>
        <v>32766.8652222912</v>
      </c>
      <c r="L18" s="28" t="n">
        <f aca="false">IS!L6*Assumptions!L$76</f>
        <v>36371.2203967432</v>
      </c>
    </row>
    <row r="19" customFormat="false" ht="15" hidden="false" customHeight="false" outlineLevel="0" collapsed="false">
      <c r="A19" s="4" t="s">
        <v>114</v>
      </c>
      <c r="C19" s="31" t="n">
        <f aca="false">C12+SUM(C13:C18)</f>
        <v>359268</v>
      </c>
      <c r="D19" s="31" t="n">
        <f aca="false">D12+SUM(D13:D18)</f>
        <v>365264</v>
      </c>
      <c r="E19" s="31" t="n">
        <f aca="false">E12+SUM(E13:E18)</f>
        <v>402392</v>
      </c>
      <c r="F19" s="31" t="n">
        <f aca="false">F12+SUM(F13:F18)</f>
        <v>450256</v>
      </c>
      <c r="G19" s="31" t="n">
        <f aca="false">G12+SUM(G13:G18)</f>
        <v>595281</v>
      </c>
      <c r="H19" s="32" t="n">
        <f aca="false">H12+SUM(H13:H18)</f>
        <v>856299.872552619</v>
      </c>
      <c r="I19" s="31" t="n">
        <f aca="false">I12+SUM(I13:I18)</f>
        <v>1070189.43370349</v>
      </c>
      <c r="J19" s="31" t="n">
        <f aca="false">J12+SUM(J13:J18)</f>
        <v>1258969.56997585</v>
      </c>
      <c r="K19" s="31" t="n">
        <f aca="false">K12+SUM(K13:K18)</f>
        <v>1415905.09362486</v>
      </c>
      <c r="L19" s="31" t="n">
        <f aca="false">L12+SUM(L13:L18)</f>
        <v>1553217.37169788</v>
      </c>
    </row>
    <row r="21" customFormat="false" ht="15" hidden="false" customHeight="false" outlineLevel="0" collapsed="false">
      <c r="A21" s="4" t="s">
        <v>115</v>
      </c>
    </row>
    <row r="22" customFormat="false" ht="15" hidden="false" customHeight="false" outlineLevel="0" collapsed="false">
      <c r="A22" s="11" t="s">
        <v>116</v>
      </c>
      <c r="C22" s="19" t="n">
        <v>6037</v>
      </c>
      <c r="D22" s="19" t="n">
        <v>5128</v>
      </c>
      <c r="E22" s="19" t="n">
        <v>7493</v>
      </c>
      <c r="F22" s="19" t="n">
        <v>7987</v>
      </c>
      <c r="G22" s="19" t="n">
        <v>12200</v>
      </c>
      <c r="H22" s="27" t="n">
        <f aca="false">IS!H9*Assumptions!H$67/365</f>
        <v>15660.7020082192</v>
      </c>
      <c r="I22" s="28" t="n">
        <f aca="false">IS!I9*Assumptions!I$67/365</f>
        <v>19906.1660869644</v>
      </c>
      <c r="J22" s="28" t="n">
        <f aca="false">IS!J9*Assumptions!J$67/365</f>
        <v>24692.7310595026</v>
      </c>
      <c r="K22" s="28" t="n">
        <f aca="false">IS!K9*Assumptions!K$67/365</f>
        <v>29427.1471631743</v>
      </c>
      <c r="L22" s="28" t="n">
        <f aca="false">IS!L9*Assumptions!L$67/365</f>
        <v>33742.6699914393</v>
      </c>
    </row>
    <row r="23" customFormat="false" ht="15" hidden="false" customHeight="false" outlineLevel="0" collapsed="false">
      <c r="A23" s="11" t="s">
        <v>117</v>
      </c>
      <c r="C23" s="19" t="n">
        <v>13889</v>
      </c>
      <c r="D23" s="19" t="n">
        <v>14028</v>
      </c>
      <c r="E23" s="19" t="n">
        <v>15140</v>
      </c>
      <c r="F23" s="19" t="n">
        <v>15069</v>
      </c>
      <c r="G23" s="19" t="n">
        <v>17546</v>
      </c>
      <c r="H23" s="27" t="n">
        <f aca="false">IS!H6*Assumptions!H$70</f>
        <v>19497.2624</v>
      </c>
      <c r="I23" s="28" t="n">
        <f aca="false">IS!I6*Assumptions!I$70</f>
        <v>22811.797008</v>
      </c>
      <c r="J23" s="28" t="n">
        <f aca="false">IS!J6*Assumptions!J$70</f>
        <v>26005.44858912</v>
      </c>
      <c r="K23" s="28" t="n">
        <f aca="false">IS!K6*Assumptions!K$70</f>
        <v>29126.1024198144</v>
      </c>
      <c r="L23" s="28" t="n">
        <f aca="false">IS!L6*Assumptions!L$70</f>
        <v>32329.973685994</v>
      </c>
    </row>
    <row r="24" customFormat="false" ht="15" hidden="false" customHeight="false" outlineLevel="0" collapsed="false">
      <c r="A24" s="11" t="s">
        <v>118</v>
      </c>
      <c r="C24" s="19" t="n">
        <v>32044</v>
      </c>
      <c r="D24" s="19" t="n">
        <v>37866</v>
      </c>
      <c r="E24" s="19" t="n">
        <v>46168</v>
      </c>
      <c r="F24" s="19" t="n">
        <v>51228</v>
      </c>
      <c r="G24" s="19" t="n">
        <v>55557</v>
      </c>
      <c r="H24" s="27" t="n">
        <f aca="false">IS!H6*Assumptions!H$71</f>
        <v>68240.4184</v>
      </c>
      <c r="I24" s="28" t="n">
        <f aca="false">IS!I6*Assumptions!I$71</f>
        <v>79841.289528</v>
      </c>
      <c r="J24" s="28" t="n">
        <f aca="false">IS!J6*Assumptions!J$71</f>
        <v>91019.07006192</v>
      </c>
      <c r="K24" s="28" t="n">
        <f aca="false">IS!K6*Assumptions!K$71</f>
        <v>101941.35846935</v>
      </c>
      <c r="L24" s="28" t="n">
        <f aca="false">IS!L6*Assumptions!L$71</f>
        <v>113154.907900979</v>
      </c>
    </row>
    <row r="25" customFormat="false" ht="15" hidden="false" customHeight="false" outlineLevel="0" collapsed="false">
      <c r="A25" s="11" t="s">
        <v>119</v>
      </c>
      <c r="C25" s="19" t="n">
        <v>8996</v>
      </c>
      <c r="D25" s="19" t="n">
        <v>8370</v>
      </c>
      <c r="E25" s="19" t="n">
        <v>8876</v>
      </c>
      <c r="F25" s="19" t="n">
        <v>9802</v>
      </c>
      <c r="G25" s="19" t="n">
        <v>10864</v>
      </c>
      <c r="H25" s="27" t="n">
        <f aca="false">IS!H6*Assumptions!H$72</f>
        <v>12673.22056</v>
      </c>
      <c r="I25" s="28" t="n">
        <f aca="false">IS!I6*Assumptions!I$72</f>
        <v>14827.6680552</v>
      </c>
      <c r="J25" s="28" t="n">
        <f aca="false">IS!J6*Assumptions!J$72</f>
        <v>16903.541582928</v>
      </c>
      <c r="K25" s="28" t="n">
        <f aca="false">IS!K6*Assumptions!K$72</f>
        <v>18931.9665728794</v>
      </c>
      <c r="L25" s="28" t="n">
        <f aca="false">IS!L6*Assumptions!L$72</f>
        <v>21014.4828958961</v>
      </c>
    </row>
    <row r="26" customFormat="false" ht="15" hidden="false" customHeight="false" outlineLevel="0" collapsed="false">
      <c r="A26" s="11" t="s">
        <v>120</v>
      </c>
      <c r="C26" s="19" t="n">
        <v>3288</v>
      </c>
      <c r="D26" s="19" t="n">
        <v>3908</v>
      </c>
      <c r="E26" s="19" t="n">
        <v>4137</v>
      </c>
      <c r="F26" s="19" t="n">
        <v>5036</v>
      </c>
      <c r="G26" s="19" t="n">
        <v>6578</v>
      </c>
      <c r="H26" s="27" t="n">
        <f aca="false">IS!H6*Assumptions!H$73</f>
        <v>8286.33652</v>
      </c>
      <c r="I26" s="28" t="n">
        <f aca="false">IS!I6*Assumptions!I$73</f>
        <v>9695.0137284</v>
      </c>
      <c r="J26" s="28" t="n">
        <f aca="false">IS!J6*Assumptions!J$73</f>
        <v>11052.315650376</v>
      </c>
      <c r="K26" s="28" t="n">
        <f aca="false">IS!K6*Assumptions!K$73</f>
        <v>12378.5935284211</v>
      </c>
      <c r="L26" s="28" t="n">
        <f aca="false">IS!L6*Assumptions!L$73</f>
        <v>13740.2388165474</v>
      </c>
    </row>
    <row r="27" customFormat="false" ht="15" hidden="false" customHeight="false" outlineLevel="0" collapsed="false">
      <c r="A27" s="4" t="s">
        <v>121</v>
      </c>
      <c r="C27" s="31" t="n">
        <f aca="false">SUM(C22:C26)</f>
        <v>64254</v>
      </c>
      <c r="D27" s="31" t="n">
        <f aca="false">SUM(D22:D26)</f>
        <v>69300</v>
      </c>
      <c r="E27" s="31" t="n">
        <f aca="false">SUM(E22:E26)</f>
        <v>81814</v>
      </c>
      <c r="F27" s="31" t="n">
        <f aca="false">SUM(F22:F26)</f>
        <v>89122</v>
      </c>
      <c r="G27" s="31" t="n">
        <f aca="false">SUM(G22:G26)</f>
        <v>102745</v>
      </c>
      <c r="H27" s="32" t="n">
        <f aca="false">SUM(H22:H26)</f>
        <v>124357.939888219</v>
      </c>
      <c r="I27" s="31" t="n">
        <f aca="false">SUM(I22:I26)</f>
        <v>147081.934406564</v>
      </c>
      <c r="J27" s="31" t="n">
        <f aca="false">SUM(J22:J26)</f>
        <v>169673.106943847</v>
      </c>
      <c r="K27" s="31" t="n">
        <f aca="false">SUM(K22:K26)</f>
        <v>191805.16815364</v>
      </c>
      <c r="L27" s="31" t="n">
        <f aca="false">SUM(L22:L26)</f>
        <v>213982.273290856</v>
      </c>
    </row>
    <row r="28" customFormat="false" ht="15" hidden="false" customHeight="false" outlineLevel="0" collapsed="false">
      <c r="A28" s="11" t="s">
        <v>122</v>
      </c>
      <c r="C28" s="19" t="n">
        <v>14817</v>
      </c>
      <c r="D28" s="19" t="n">
        <v>14701</v>
      </c>
      <c r="E28" s="19" t="n">
        <v>13253</v>
      </c>
      <c r="F28" s="19" t="n">
        <v>10883</v>
      </c>
      <c r="G28" s="19" t="n">
        <v>46547</v>
      </c>
      <c r="H28" s="33" t="n">
        <f aca="false">Schedules!H20</f>
        <v>101294</v>
      </c>
      <c r="I28" s="34" t="n">
        <f aca="false">Schedules!I20</f>
        <v>138294</v>
      </c>
      <c r="J28" s="34" t="n">
        <f aca="false">Schedules!J20</f>
        <v>173294</v>
      </c>
      <c r="K28" s="34" t="n">
        <f aca="false">Schedules!K20</f>
        <v>201294</v>
      </c>
      <c r="L28" s="34" t="n">
        <f aca="false">Schedules!L20</f>
        <v>226294</v>
      </c>
    </row>
    <row r="29" customFormat="false" ht="15" hidden="false" customHeight="false" outlineLevel="0" collapsed="false">
      <c r="A29" s="11" t="s">
        <v>123</v>
      </c>
      <c r="C29" s="19" t="n">
        <v>9176</v>
      </c>
      <c r="D29" s="19" t="n">
        <v>9258</v>
      </c>
      <c r="E29" s="19" t="n">
        <v>8474</v>
      </c>
      <c r="F29" s="19" t="n">
        <v>8782</v>
      </c>
      <c r="G29" s="19" t="n">
        <v>9531</v>
      </c>
      <c r="H29" s="33" t="n">
        <f aca="false">Assumptions!H$83</f>
        <v>11306</v>
      </c>
      <c r="I29" s="34" t="n">
        <f aca="false">Assumptions!I$83</f>
        <v>11500</v>
      </c>
      <c r="J29" s="34" t="n">
        <f aca="false">Assumptions!J$83</f>
        <v>11800</v>
      </c>
      <c r="K29" s="34" t="n">
        <f aca="false">Assumptions!K$83</f>
        <v>12000</v>
      </c>
      <c r="L29" s="34" t="n">
        <f aca="false">Assumptions!L$83</f>
        <v>12200</v>
      </c>
    </row>
    <row r="30" customFormat="false" ht="15" hidden="false" customHeight="false" outlineLevel="0" collapsed="false">
      <c r="A30" s="11" t="s">
        <v>124</v>
      </c>
      <c r="C30" s="19" t="n">
        <v>11389</v>
      </c>
      <c r="D30" s="19" t="n">
        <v>12501</v>
      </c>
      <c r="E30" s="19" t="n">
        <v>12460</v>
      </c>
      <c r="F30" s="19" t="n">
        <v>11691</v>
      </c>
      <c r="G30" s="19" t="n">
        <v>12744</v>
      </c>
      <c r="H30" s="27" t="n">
        <f aca="false">IS!H6*Assumptions!H$75</f>
        <v>15110.37836</v>
      </c>
      <c r="I30" s="28" t="n">
        <f aca="false">IS!I6*Assumptions!I$75</f>
        <v>17679.1426812</v>
      </c>
      <c r="J30" s="28" t="n">
        <f aca="false">IS!J6*Assumptions!J$75</f>
        <v>20154.222656568</v>
      </c>
      <c r="K30" s="28" t="n">
        <f aca="false">IS!K6*Assumptions!K$75</f>
        <v>22572.7293753562</v>
      </c>
      <c r="L30" s="28" t="n">
        <f aca="false">IS!L6*Assumptions!L$75</f>
        <v>25055.7296066453</v>
      </c>
    </row>
    <row r="31" customFormat="false" ht="15" hidden="false" customHeight="false" outlineLevel="0" collapsed="false">
      <c r="A31" s="11" t="s">
        <v>125</v>
      </c>
      <c r="C31" s="19" t="n">
        <v>7997</v>
      </c>
      <c r="D31" s="19" t="n">
        <v>3360</v>
      </c>
      <c r="E31" s="19" t="n">
        <v>3012</v>
      </c>
      <c r="F31" s="19" t="n">
        <v>4694</v>
      </c>
      <c r="G31" s="19" t="n">
        <v>8449</v>
      </c>
      <c r="H31" s="33" t="n">
        <f aca="false">Assumptions!H$84</f>
        <v>8511</v>
      </c>
      <c r="I31" s="34" t="n">
        <f aca="false">Assumptions!I$84</f>
        <v>9000</v>
      </c>
      <c r="J31" s="34" t="n">
        <f aca="false">Assumptions!J$84</f>
        <v>9500</v>
      </c>
      <c r="K31" s="34" t="n">
        <f aca="false">Assumptions!K$84</f>
        <v>10000</v>
      </c>
      <c r="L31" s="34" t="n">
        <f aca="false">Assumptions!L$84</f>
        <v>10500</v>
      </c>
    </row>
    <row r="32" customFormat="false" ht="15" hidden="false" customHeight="false" outlineLevel="0" collapsed="false">
      <c r="A32" s="4" t="s">
        <v>126</v>
      </c>
      <c r="C32" s="31" t="n">
        <f aca="false">C27+SUM(C28:C31)</f>
        <v>107633</v>
      </c>
      <c r="D32" s="31" t="n">
        <f aca="false">D27+SUM(D28:D31)</f>
        <v>109120</v>
      </c>
      <c r="E32" s="31" t="n">
        <f aca="false">E27+SUM(E28:E31)</f>
        <v>119013</v>
      </c>
      <c r="F32" s="31" t="n">
        <f aca="false">F27+SUM(F28:F31)</f>
        <v>125172</v>
      </c>
      <c r="G32" s="31" t="n">
        <f aca="false">G27+SUM(G28:G31)</f>
        <v>180016</v>
      </c>
      <c r="H32" s="32" t="n">
        <f aca="false">H27+SUM(H28:H31)</f>
        <v>260579.318248219</v>
      </c>
      <c r="I32" s="31" t="n">
        <f aca="false">I27+SUM(I28:I31)</f>
        <v>323555.077087764</v>
      </c>
      <c r="J32" s="31" t="n">
        <f aca="false">J27+SUM(J28:J31)</f>
        <v>384421.329600415</v>
      </c>
      <c r="K32" s="31" t="n">
        <f aca="false">K27+SUM(K28:K31)</f>
        <v>437671.897528996</v>
      </c>
      <c r="L32" s="31" t="n">
        <f aca="false">L27+SUM(L28:L31)</f>
        <v>488032.002897501</v>
      </c>
    </row>
    <row r="34" customFormat="false" ht="15" hidden="false" customHeight="false" outlineLevel="0" collapsed="false">
      <c r="A34" s="11" t="s">
        <v>127</v>
      </c>
      <c r="C34" s="19" t="n">
        <v>0</v>
      </c>
      <c r="D34" s="19" t="n">
        <v>0</v>
      </c>
      <c r="E34" s="19" t="n">
        <v>0</v>
      </c>
      <c r="F34" s="19" t="n">
        <v>0</v>
      </c>
      <c r="G34" s="19" t="n">
        <v>0</v>
      </c>
      <c r="H34" s="27" t="n">
        <f aca="false">G34+Schedules!H35</f>
        <v>18023</v>
      </c>
      <c r="I34" s="28" t="n">
        <f aca="false">H34+Schedules!I35</f>
        <v>18023</v>
      </c>
      <c r="J34" s="28" t="n">
        <f aca="false">I34+Schedules!J35</f>
        <v>18023</v>
      </c>
      <c r="K34" s="28" t="n">
        <f aca="false">J34+Schedules!K35</f>
        <v>18023</v>
      </c>
      <c r="L34" s="28" t="n">
        <f aca="false">K34+Schedules!L35</f>
        <v>18023</v>
      </c>
    </row>
    <row r="35" customFormat="false" ht="15" hidden="false" customHeight="false" outlineLevel="0" collapsed="false">
      <c r="A35" s="11" t="s">
        <v>128</v>
      </c>
      <c r="C35" s="19" t="n">
        <v>61774</v>
      </c>
      <c r="D35" s="19" t="n">
        <v>68184</v>
      </c>
      <c r="E35" s="19" t="n">
        <v>76534</v>
      </c>
      <c r="F35" s="19" t="n">
        <v>84800</v>
      </c>
      <c r="G35" s="19" t="n">
        <v>93126</v>
      </c>
      <c r="H35" s="27" t="n">
        <f aca="false">G35+Schedules!H32-Schedules!H33+Schedules!H34</f>
        <v>130885.75672</v>
      </c>
      <c r="I35" s="28" t="n">
        <f aca="false">H35+Schedules!I32-Schedules!I33+Schedules!I34</f>
        <v>155103.452232</v>
      </c>
      <c r="J35" s="28" t="n">
        <f aca="false">I35+Schedules!J32-Schedules!J33+Schedules!J34</f>
        <v>181811.352686224</v>
      </c>
      <c r="K35" s="28" t="n">
        <f aca="false">J35+Schedules!K32-Schedules!K33+Schedules!K34</f>
        <v>210587.896073964</v>
      </c>
      <c r="L35" s="28" t="n">
        <f aca="false">K35+Schedules!L32-Schedules!L33+Schedules!L34</f>
        <v>242041.609892206</v>
      </c>
    </row>
    <row r="36" customFormat="false" ht="15" hidden="false" customHeight="false" outlineLevel="0" collapsed="false">
      <c r="A36" s="11" t="s">
        <v>129</v>
      </c>
      <c r="C36" s="19" t="n">
        <v>-1623</v>
      </c>
      <c r="D36" s="19" t="n">
        <v>-7603</v>
      </c>
      <c r="E36" s="19" t="n">
        <v>-4402</v>
      </c>
      <c r="F36" s="19" t="n">
        <v>-4800</v>
      </c>
      <c r="G36" s="19" t="n">
        <v>-1916</v>
      </c>
      <c r="H36" s="27" t="n">
        <f aca="false">G36</f>
        <v>-1916</v>
      </c>
      <c r="I36" s="28" t="n">
        <f aca="false">H36</f>
        <v>-1916</v>
      </c>
      <c r="J36" s="28" t="n">
        <f aca="false">I36</f>
        <v>-1916</v>
      </c>
      <c r="K36" s="28" t="n">
        <f aca="false">J36</f>
        <v>-1916</v>
      </c>
      <c r="L36" s="28" t="n">
        <f aca="false">K36</f>
        <v>-1916</v>
      </c>
    </row>
    <row r="37" customFormat="false" ht="15" hidden="false" customHeight="false" outlineLevel="0" collapsed="false">
      <c r="A37" s="11" t="s">
        <v>130</v>
      </c>
      <c r="C37" s="19" t="n">
        <v>191484</v>
      </c>
      <c r="D37" s="19" t="n">
        <v>195563</v>
      </c>
      <c r="E37" s="19" t="n">
        <v>211247</v>
      </c>
      <c r="F37" s="19" t="n">
        <v>245084</v>
      </c>
      <c r="G37" s="19" t="n">
        <v>324055</v>
      </c>
      <c r="H37" s="27" t="n">
        <f aca="false">G37+IS!H24-Schedules!H29-Schedules!H30-Schedules!H31</f>
        <v>448727.7975844</v>
      </c>
      <c r="I37" s="28" t="n">
        <f aca="false">H37+IS!I24-Schedules!I29-Schedules!I30-Schedules!I31</f>
        <v>575423.904383728</v>
      </c>
      <c r="J37" s="28" t="n">
        <f aca="false">I37+IS!J24-Schedules!J29-Schedules!J30-Schedules!J31</f>
        <v>676629.887689217</v>
      </c>
      <c r="K37" s="28" t="n">
        <f aca="false">J37+IS!K24-Schedules!K29-Schedules!K30-Schedules!K31</f>
        <v>751538.300021897</v>
      </c>
      <c r="L37" s="28" t="n">
        <f aca="false">K37+IS!L24-Schedules!L29-Schedules!L30-Schedules!L31</f>
        <v>807036.758908176</v>
      </c>
    </row>
    <row r="38" customFormat="false" ht="15" hidden="false" customHeight="false" outlineLevel="0" collapsed="false">
      <c r="A38" s="4" t="s">
        <v>131</v>
      </c>
      <c r="C38" s="31" t="n">
        <f aca="false">SUM(C34:C37)</f>
        <v>251635</v>
      </c>
      <c r="D38" s="31" t="n">
        <f aca="false">SUM(D34:D37)</f>
        <v>256144</v>
      </c>
      <c r="E38" s="31" t="n">
        <f aca="false">SUM(E34:E37)</f>
        <v>283379</v>
      </c>
      <c r="F38" s="31" t="n">
        <f aca="false">SUM(F34:F37)</f>
        <v>325084</v>
      </c>
      <c r="G38" s="31" t="n">
        <f aca="false">SUM(G34:G37)</f>
        <v>415265</v>
      </c>
      <c r="H38" s="32" t="n">
        <f aca="false">SUM(H34:H37)</f>
        <v>595720.5543044</v>
      </c>
      <c r="I38" s="31" t="n">
        <f aca="false">SUM(I34:I37)</f>
        <v>746634.356615728</v>
      </c>
      <c r="J38" s="31" t="n">
        <f aca="false">SUM(J34:J37)</f>
        <v>874548.240375441</v>
      </c>
      <c r="K38" s="31" t="n">
        <f aca="false">SUM(K34:K37)</f>
        <v>978233.196095861</v>
      </c>
      <c r="L38" s="31" t="n">
        <f aca="false">SUM(L34:L37)</f>
        <v>1065185.36880038</v>
      </c>
    </row>
    <row r="39" customFormat="false" ht="15" hidden="false" customHeight="false" outlineLevel="0" collapsed="false">
      <c r="A39" s="4" t="s">
        <v>132</v>
      </c>
      <c r="C39" s="31" t="n">
        <f aca="false">C32+C38</f>
        <v>359268</v>
      </c>
      <c r="D39" s="31" t="n">
        <f aca="false">D32+D38</f>
        <v>365264</v>
      </c>
      <c r="E39" s="31" t="n">
        <f aca="false">E32+E38</f>
        <v>402392</v>
      </c>
      <c r="F39" s="31" t="n">
        <f aca="false">F32+F38</f>
        <v>450256</v>
      </c>
      <c r="G39" s="31" t="n">
        <f aca="false">G32+G38</f>
        <v>595281</v>
      </c>
      <c r="H39" s="32" t="n">
        <f aca="false">H32+H38</f>
        <v>856299.872552619</v>
      </c>
      <c r="I39" s="31" t="n">
        <f aca="false">I32+I38</f>
        <v>1070189.43370349</v>
      </c>
      <c r="J39" s="31" t="n">
        <f aca="false">J32+J38</f>
        <v>1258969.56997586</v>
      </c>
      <c r="K39" s="31" t="n">
        <f aca="false">K32+K38</f>
        <v>1415905.09362486</v>
      </c>
      <c r="L39" s="31" t="n">
        <f aca="false">L32+L38</f>
        <v>1553217.37169788</v>
      </c>
    </row>
    <row r="41" customFormat="false" ht="15" hidden="false" customHeight="false" outlineLevel="0" collapsed="false">
      <c r="A41" s="9" t="s">
        <v>133</v>
      </c>
      <c r="B41" s="10"/>
      <c r="C41" s="37" t="n">
        <f aca="false">C19-C39</f>
        <v>0</v>
      </c>
      <c r="D41" s="37" t="n">
        <f aca="false">D19-D39</f>
        <v>0</v>
      </c>
      <c r="E41" s="37" t="n">
        <f aca="false">E19-E39</f>
        <v>0</v>
      </c>
      <c r="F41" s="37" t="n">
        <f aca="false">F19-F39</f>
        <v>0</v>
      </c>
      <c r="G41" s="37" t="n">
        <f aca="false">G19-G39</f>
        <v>0</v>
      </c>
      <c r="H41" s="38" t="n">
        <f aca="false">H19-H39</f>
        <v>0</v>
      </c>
      <c r="I41" s="37" t="n">
        <f aca="false">I19-I39</f>
        <v>0</v>
      </c>
      <c r="J41" s="37" t="n">
        <f aca="false">J19-J39</f>
        <v>0</v>
      </c>
      <c r="K41" s="37" t="n">
        <f aca="false">K19-K39</f>
        <v>0</v>
      </c>
      <c r="L41" s="37" t="n">
        <f aca="false">L19-L39</f>
        <v>0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3"/>
    <col collapsed="false" customWidth="true" hidden="false" outlineLevel="0" max="12" min="3" style="0" width="13"/>
  </cols>
  <sheetData>
    <row r="1" customFormat="false" ht="15" hidden="false" customHeight="false" outlineLevel="0" collapsed="false">
      <c r="A1" s="1" t="s">
        <v>134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135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6"/>
      <c r="B5" s="6"/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8" t="s">
        <v>10</v>
      </c>
      <c r="I5" s="7" t="s">
        <v>11</v>
      </c>
      <c r="J5" s="7" t="s">
        <v>12</v>
      </c>
      <c r="K5" s="7" t="s">
        <v>13</v>
      </c>
      <c r="L5" s="7" t="s">
        <v>14</v>
      </c>
    </row>
    <row r="6" customFormat="false" ht="15" hidden="false" customHeight="false" outlineLevel="0" collapsed="false">
      <c r="A6" s="4" t="s">
        <v>136</v>
      </c>
    </row>
    <row r="7" customFormat="false" ht="15" hidden="false" customHeight="false" outlineLevel="0" collapsed="false">
      <c r="A7" s="11" t="s">
        <v>91</v>
      </c>
      <c r="C7" s="34" t="n">
        <f aca="false">IS!C24</f>
        <v>76033</v>
      </c>
      <c r="D7" s="34" t="n">
        <f aca="false">IS!D24</f>
        <v>59972</v>
      </c>
      <c r="E7" s="34" t="n">
        <f aca="false">IS!E24</f>
        <v>73795</v>
      </c>
      <c r="F7" s="34" t="n">
        <f aca="false">IS!F24</f>
        <v>100118</v>
      </c>
      <c r="G7" s="34" t="n">
        <f aca="false">IS!G24</f>
        <v>132170</v>
      </c>
      <c r="H7" s="33" t="n">
        <f aca="false">IS!H24</f>
        <v>136028.9207844</v>
      </c>
      <c r="I7" s="34" t="n">
        <f aca="false">IS!I24</f>
        <v>140069.432321528</v>
      </c>
      <c r="J7" s="34" t="n">
        <f aca="false">IS!J24</f>
        <v>135749.853809296</v>
      </c>
      <c r="K7" s="34" t="n">
        <f aca="false">IS!K24</f>
        <v>130808.785684072</v>
      </c>
      <c r="L7" s="34" t="n">
        <f aca="false">IS!L24</f>
        <v>132826.686933441</v>
      </c>
    </row>
    <row r="8" customFormat="false" ht="15" hidden="false" customHeight="false" outlineLevel="0" collapsed="false">
      <c r="A8" s="11" t="s">
        <v>137</v>
      </c>
      <c r="C8" s="19" t="n">
        <v>10273</v>
      </c>
      <c r="D8" s="19" t="n">
        <v>13475</v>
      </c>
      <c r="E8" s="19" t="n">
        <v>11946</v>
      </c>
      <c r="F8" s="19" t="n">
        <v>15311</v>
      </c>
      <c r="G8" s="19" t="n">
        <v>21136</v>
      </c>
      <c r="H8" s="33" t="n">
        <f aca="false">Schedules!H8</f>
        <v>32057.61</v>
      </c>
      <c r="I8" s="34" t="n">
        <f aca="false">Schedules!I8</f>
        <v>62180.9085</v>
      </c>
      <c r="J8" s="34" t="n">
        <f aca="false">Schedules!J8</f>
        <v>101039.1494475</v>
      </c>
      <c r="K8" s="34" t="n">
        <f aca="false">Schedules!K8</f>
        <v>140230.883109187</v>
      </c>
      <c r="L8" s="34" t="n">
        <f aca="false">Schedules!L8</f>
        <v>172995.920809796</v>
      </c>
    </row>
    <row r="9" customFormat="false" ht="15" hidden="false" customHeight="false" outlineLevel="0" collapsed="false">
      <c r="A9" s="11" t="s">
        <v>138</v>
      </c>
      <c r="C9" s="19" t="n">
        <v>15376</v>
      </c>
      <c r="D9" s="19" t="n">
        <v>19362</v>
      </c>
      <c r="E9" s="19" t="n">
        <v>22460</v>
      </c>
      <c r="F9" s="19" t="n">
        <v>22785</v>
      </c>
      <c r="G9" s="19" t="n">
        <v>24953</v>
      </c>
      <c r="H9" s="33" t="n">
        <f aca="false">IS!H33</f>
        <v>30220.75672</v>
      </c>
      <c r="I9" s="34" t="n">
        <f aca="false">IS!I33</f>
        <v>34217.695512</v>
      </c>
      <c r="J9" s="34" t="n">
        <f aca="false">IS!J33</f>
        <v>37707.900454224</v>
      </c>
      <c r="K9" s="34" t="n">
        <f aca="false">IS!K33</f>
        <v>40776.5433877402</v>
      </c>
      <c r="L9" s="34" t="n">
        <f aca="false">IS!L33</f>
        <v>44453.7138182417</v>
      </c>
    </row>
    <row r="10" customFormat="false" ht="15" hidden="false" customHeight="false" outlineLevel="0" collapsed="false">
      <c r="A10" s="11" t="s">
        <v>139</v>
      </c>
      <c r="C10" s="19" t="n">
        <v>1808</v>
      </c>
      <c r="D10" s="19" t="n">
        <v>-8081</v>
      </c>
      <c r="E10" s="19" t="n">
        <v>-7763</v>
      </c>
      <c r="F10" s="19" t="n">
        <v>-5257</v>
      </c>
      <c r="G10" s="19" t="n">
        <v>8348</v>
      </c>
      <c r="H10" s="27" t="n">
        <f aca="false">-(BS!H14-BS!G14)</f>
        <v>7665</v>
      </c>
      <c r="I10" s="28" t="n">
        <f aca="false">-(BS!I14-BS!H14)</f>
        <v>-0</v>
      </c>
      <c r="J10" s="28" t="n">
        <f aca="false">-(BS!J14-BS!I14)</f>
        <v>-0</v>
      </c>
      <c r="K10" s="28" t="n">
        <f aca="false">-(BS!K14-BS!J14)</f>
        <v>-0</v>
      </c>
      <c r="L10" s="28" t="n">
        <f aca="false">-(BS!L14-BS!K14)</f>
        <v>-0</v>
      </c>
    </row>
    <row r="11" customFormat="false" ht="15" hidden="false" customHeight="false" outlineLevel="0" collapsed="false">
      <c r="A11" s="11" t="s">
        <v>140</v>
      </c>
      <c r="C11" s="19" t="n">
        <v>-12270</v>
      </c>
      <c r="D11" s="19" t="n">
        <v>5519</v>
      </c>
      <c r="E11" s="19" t="n">
        <v>823</v>
      </c>
      <c r="F11" s="19" t="n">
        <v>-2671</v>
      </c>
      <c r="G11" s="19" t="n">
        <v>-24620</v>
      </c>
      <c r="H11" s="33" t="n">
        <f aca="false">-Assumptions!H$63</f>
        <v>-0</v>
      </c>
      <c r="I11" s="34" t="n">
        <f aca="false">-Assumptions!I$63</f>
        <v>-0</v>
      </c>
      <c r="J11" s="34" t="n">
        <f aca="false">-Assumptions!J$63</f>
        <v>-0</v>
      </c>
      <c r="K11" s="34" t="n">
        <f aca="false">-Assumptions!K$63</f>
        <v>-0</v>
      </c>
      <c r="L11" s="34" t="n">
        <f aca="false">-Assumptions!L$63</f>
        <v>-0</v>
      </c>
    </row>
    <row r="12" customFormat="false" ht="15" hidden="false" customHeight="false" outlineLevel="0" collapsed="false">
      <c r="A12" s="11" t="s">
        <v>141</v>
      </c>
      <c r="C12" s="19" t="n">
        <v>1955</v>
      </c>
      <c r="D12" s="19" t="n">
        <v>3483</v>
      </c>
      <c r="E12" s="19" t="n">
        <v>4330</v>
      </c>
      <c r="F12" s="19" t="n">
        <v>3419</v>
      </c>
      <c r="G12" s="19" t="n">
        <v>2108</v>
      </c>
      <c r="H12" s="18" t="n">
        <v>0</v>
      </c>
      <c r="I12" s="19" t="n">
        <v>0</v>
      </c>
      <c r="J12" s="19" t="n">
        <v>0</v>
      </c>
      <c r="K12" s="19" t="n">
        <v>0</v>
      </c>
      <c r="L12" s="19" t="n">
        <v>0</v>
      </c>
    </row>
    <row r="13" customFormat="false" ht="15" hidden="false" customHeight="false" outlineLevel="0" collapsed="false">
      <c r="A13" s="11" t="s">
        <v>142</v>
      </c>
    </row>
    <row r="14" customFormat="false" ht="15" hidden="false" customHeight="false" outlineLevel="0" collapsed="false">
      <c r="A14" s="11" t="s">
        <v>143</v>
      </c>
      <c r="C14" s="19" t="n">
        <v>-9095</v>
      </c>
      <c r="D14" s="19" t="n">
        <v>-2317</v>
      </c>
      <c r="E14" s="19" t="n">
        <v>-7833</v>
      </c>
      <c r="F14" s="19" t="n">
        <v>-5891</v>
      </c>
      <c r="G14" s="19" t="n">
        <v>-8779</v>
      </c>
      <c r="H14" s="27" t="n">
        <f aca="false">-(BS!H9-BS!G9)</f>
        <v>-13233.4490958904</v>
      </c>
      <c r="I14" s="28" t="n">
        <f aca="false">-(BS!I9-BS!H9)</f>
        <v>-12940.3063463014</v>
      </c>
      <c r="J14" s="28" t="n">
        <f aca="false">-(BS!J9-BS!I9)</f>
        <v>-12468.3657619069</v>
      </c>
      <c r="K14" s="28" t="n">
        <f aca="false">-(BS!K9-BS!J9)</f>
        <v>-12183.3745444919</v>
      </c>
      <c r="L14" s="28" t="n">
        <f aca="false">-(BS!L9-BS!K9)</f>
        <v>-12508.264532345</v>
      </c>
    </row>
    <row r="15" customFormat="false" ht="15" hidden="false" customHeight="false" outlineLevel="0" collapsed="false">
      <c r="A15" s="11" t="s">
        <v>144</v>
      </c>
      <c r="C15" s="19" t="n">
        <v>0</v>
      </c>
      <c r="D15" s="19" t="n">
        <v>0</v>
      </c>
      <c r="E15" s="19" t="n">
        <v>0</v>
      </c>
      <c r="F15" s="19" t="n">
        <v>0</v>
      </c>
      <c r="G15" s="19" t="n">
        <v>0</v>
      </c>
      <c r="H15" s="27" t="n">
        <f aca="false">-(BS!H10-BS!G10)</f>
        <v>-7087.927055</v>
      </c>
      <c r="I15" s="28" t="n">
        <f aca="false">-(BS!I10-BS!H10)</f>
        <v>-3793.615751527</v>
      </c>
      <c r="J15" s="28" t="n">
        <f aca="false">-(BS!J10-BS!I10)</f>
        <v>-4104.29441112867</v>
      </c>
      <c r="K15" s="28" t="n">
        <f aca="false">-(BS!K10-BS!J10)</f>
        <v>-4056.98021146157</v>
      </c>
      <c r="L15" s="28" t="n">
        <f aca="false">-(BS!L10-BS!K10)</f>
        <v>-3150.33166463343</v>
      </c>
    </row>
    <row r="16" customFormat="false" ht="15" hidden="false" customHeight="false" outlineLevel="0" collapsed="false">
      <c r="A16" s="11" t="s">
        <v>145</v>
      </c>
      <c r="C16" s="19" t="n">
        <v>-1846</v>
      </c>
      <c r="D16" s="19" t="n">
        <v>-5046</v>
      </c>
      <c r="E16" s="19" t="n">
        <v>-2143</v>
      </c>
      <c r="F16" s="19" t="n">
        <v>-1397</v>
      </c>
      <c r="G16" s="19" t="n">
        <v>-4542</v>
      </c>
      <c r="H16" s="27" t="n">
        <f aca="false">-(BS!H11-BS!G11)-(BS!H16-BS!G16)-(BS!H18-BS!G18)</f>
        <v>-15413.65032</v>
      </c>
      <c r="I16" s="28" t="n">
        <f aca="false">-(BS!I11-BS!H11)-(BS!I16-BS!H16)-(BS!I18-BS!H18)</f>
        <v>-10109.3305544</v>
      </c>
      <c r="J16" s="28" t="n">
        <f aca="false">-(BS!J11-BS!I11)-(BS!J16-BS!I16)-(BS!J18-BS!I18)</f>
        <v>-9740.63732241601</v>
      </c>
      <c r="K16" s="28" t="n">
        <f aca="false">-(BS!K11-BS!J11)-(BS!K16-BS!J16)-(BS!K18-BS!J18)</f>
        <v>-9517.99418361793</v>
      </c>
      <c r="L16" s="28" t="n">
        <f aca="false">-(BS!L11-BS!K11)-(BS!L16-BS!K16)-(BS!L18-BS!K18)</f>
        <v>-9771.80736184774</v>
      </c>
    </row>
    <row r="17" customFormat="false" ht="15" hidden="false" customHeight="false" outlineLevel="0" collapsed="false">
      <c r="A17" s="11" t="s">
        <v>146</v>
      </c>
      <c r="C17" s="19" t="n">
        <v>283</v>
      </c>
      <c r="D17" s="19" t="n">
        <v>707</v>
      </c>
      <c r="E17" s="19" t="n">
        <v>664</v>
      </c>
      <c r="F17" s="19" t="n">
        <v>359</v>
      </c>
      <c r="G17" s="19" t="n">
        <v>907</v>
      </c>
      <c r="H17" s="27" t="n">
        <f aca="false">BS!H22-BS!G22</f>
        <v>3460.70200821918</v>
      </c>
      <c r="I17" s="28" t="n">
        <f aca="false">BS!I22-BS!H22</f>
        <v>4245.4640787452</v>
      </c>
      <c r="J17" s="28" t="n">
        <f aca="false">BS!J22-BS!I22</f>
        <v>4786.56497253822</v>
      </c>
      <c r="K17" s="28" t="n">
        <f aca="false">BS!K22-BS!J22</f>
        <v>4734.41610367171</v>
      </c>
      <c r="L17" s="28" t="n">
        <f aca="false">BS!L22-BS!K22</f>
        <v>4315.52282826496</v>
      </c>
    </row>
    <row r="18" customFormat="false" ht="15" hidden="false" customHeight="false" outlineLevel="0" collapsed="false">
      <c r="A18" s="11" t="s">
        <v>147</v>
      </c>
      <c r="C18" s="19" t="n">
        <v>0</v>
      </c>
      <c r="D18" s="19" t="n">
        <v>0</v>
      </c>
      <c r="E18" s="19" t="n">
        <v>0</v>
      </c>
      <c r="F18" s="19" t="n">
        <v>0</v>
      </c>
      <c r="G18" s="19" t="n">
        <v>0</v>
      </c>
      <c r="H18" s="27" t="n">
        <f aca="false">BS!H23-BS!G23</f>
        <v>1951.2624</v>
      </c>
      <c r="I18" s="28" t="n">
        <f aca="false">BS!I23-BS!H23</f>
        <v>3314.534608</v>
      </c>
      <c r="J18" s="28" t="n">
        <f aca="false">BS!J23-BS!I23</f>
        <v>3193.65158112</v>
      </c>
      <c r="K18" s="28" t="n">
        <f aca="false">BS!K23-BS!J23</f>
        <v>3120.6538306944</v>
      </c>
      <c r="L18" s="28" t="n">
        <f aca="false">BS!L23-BS!K23</f>
        <v>3203.87126617959</v>
      </c>
    </row>
    <row r="19" customFormat="false" ht="15" hidden="false" customHeight="false" outlineLevel="0" collapsed="false">
      <c r="A19" s="11" t="s">
        <v>148</v>
      </c>
      <c r="C19" s="19" t="n">
        <v>7304</v>
      </c>
      <c r="D19" s="19" t="n">
        <v>3915</v>
      </c>
      <c r="E19" s="19" t="n">
        <v>3937</v>
      </c>
      <c r="F19" s="19" t="n">
        <v>-1161</v>
      </c>
      <c r="G19" s="19" t="n">
        <v>12939</v>
      </c>
      <c r="H19" s="27" t="n">
        <f aca="false">(BS!H24-BS!G24)+(BS!H30-BS!G30)+(BS!H31-BS!G31)</f>
        <v>15111.79676</v>
      </c>
      <c r="I19" s="28" t="n">
        <f aca="false">(BS!I24-BS!H24)+(BS!I30-BS!H30)+(BS!I31-BS!H31)</f>
        <v>14658.6354492</v>
      </c>
      <c r="J19" s="28" t="n">
        <f aca="false">(BS!J24-BS!I24)+(BS!J30-BS!I30)+(BS!J31-BS!I31)</f>
        <v>14152.860509288</v>
      </c>
      <c r="K19" s="28" t="n">
        <f aca="false">(BS!K24-BS!J24)+(BS!K30-BS!J30)+(BS!K31-BS!J31)</f>
        <v>13840.7951262186</v>
      </c>
      <c r="L19" s="28" t="n">
        <f aca="false">(BS!L24-BS!K24)+(BS!L30-BS!K30)+(BS!L31-BS!K31)</f>
        <v>14196.5496629177</v>
      </c>
    </row>
    <row r="20" customFormat="false" ht="15" hidden="false" customHeight="false" outlineLevel="0" collapsed="false">
      <c r="A20" s="11" t="s">
        <v>149</v>
      </c>
      <c r="C20" s="19" t="n">
        <v>1682</v>
      </c>
      <c r="D20" s="19" t="n">
        <v>-445</v>
      </c>
      <c r="E20" s="19" t="n">
        <v>482</v>
      </c>
      <c r="F20" s="19" t="n">
        <v>1059</v>
      </c>
      <c r="G20" s="19" t="n">
        <v>899</v>
      </c>
      <c r="H20" s="27" t="n">
        <f aca="false">BS!H25-BS!G25</f>
        <v>1809.22056</v>
      </c>
      <c r="I20" s="28" t="n">
        <f aca="false">BS!I25-BS!H25</f>
        <v>2154.4474952</v>
      </c>
      <c r="J20" s="28" t="n">
        <f aca="false">BS!J25-BS!I25</f>
        <v>2075.873527728</v>
      </c>
      <c r="K20" s="28" t="n">
        <f aca="false">BS!K25-BS!J25</f>
        <v>2028.42498995136</v>
      </c>
      <c r="L20" s="28" t="n">
        <f aca="false">BS!L25-BS!K25</f>
        <v>2082.51632301673</v>
      </c>
    </row>
    <row r="21" customFormat="false" ht="15" hidden="false" customHeight="false" outlineLevel="0" collapsed="false">
      <c r="A21" s="11" t="s">
        <v>150</v>
      </c>
      <c r="C21" s="19" t="n">
        <v>774</v>
      </c>
      <c r="D21" s="19" t="n">
        <v>367</v>
      </c>
      <c r="E21" s="19" t="n">
        <v>525</v>
      </c>
      <c r="F21" s="19" t="n">
        <v>1043</v>
      </c>
      <c r="G21" s="19" t="n">
        <v>2420</v>
      </c>
      <c r="H21" s="27" t="n">
        <f aca="false">BS!H26-BS!G26</f>
        <v>1708.33652</v>
      </c>
      <c r="I21" s="28" t="n">
        <f aca="false">BS!I26-BS!H26</f>
        <v>1408.6772084</v>
      </c>
      <c r="J21" s="28" t="n">
        <f aca="false">BS!J26-BS!I26</f>
        <v>1357.301921976</v>
      </c>
      <c r="K21" s="28" t="n">
        <f aca="false">BS!K26-BS!J26</f>
        <v>1326.27787804512</v>
      </c>
      <c r="L21" s="28" t="n">
        <f aca="false">BS!L26-BS!K26</f>
        <v>1361.64528812632</v>
      </c>
    </row>
    <row r="22" customFormat="false" ht="15" hidden="false" customHeight="false" outlineLevel="0" collapsed="false">
      <c r="A22" s="11" t="s">
        <v>151</v>
      </c>
      <c r="C22" s="19" t="n">
        <v>-625</v>
      </c>
      <c r="D22" s="19" t="n">
        <v>584</v>
      </c>
      <c r="E22" s="19" t="n">
        <v>523</v>
      </c>
      <c r="F22" s="19" t="n">
        <v>-2418</v>
      </c>
      <c r="G22" s="19" t="n">
        <v>-3226</v>
      </c>
      <c r="H22" s="27" t="n">
        <f aca="false">BS!H29-BS!G29</f>
        <v>1775</v>
      </c>
      <c r="I22" s="28" t="n">
        <f aca="false">BS!I29-BS!H29</f>
        <v>194</v>
      </c>
      <c r="J22" s="28" t="n">
        <f aca="false">BS!J29-BS!I29</f>
        <v>300</v>
      </c>
      <c r="K22" s="28" t="n">
        <f aca="false">BS!K29-BS!J29</f>
        <v>200</v>
      </c>
      <c r="L22" s="28" t="n">
        <f aca="false">BS!L29-BS!K29</f>
        <v>200</v>
      </c>
    </row>
    <row r="23" customFormat="false" ht="15" hidden="false" customHeight="false" outlineLevel="0" collapsed="false">
      <c r="A23" s="4" t="s">
        <v>152</v>
      </c>
      <c r="C23" s="31" t="n">
        <f aca="false">SUM(C7:C12)+SUM(C14:C22)</f>
        <v>91652</v>
      </c>
      <c r="D23" s="31" t="n">
        <f aca="false">SUM(D7:D12)+SUM(D14:D22)</f>
        <v>91495</v>
      </c>
      <c r="E23" s="31" t="n">
        <f aca="false">SUM(E7:E12)+SUM(E14:E22)</f>
        <v>101746</v>
      </c>
      <c r="F23" s="31" t="n">
        <f aca="false">SUM(F7:F12)+SUM(F14:F22)</f>
        <v>125299</v>
      </c>
      <c r="G23" s="31" t="n">
        <f aca="false">SUM(G7:G12)+SUM(G14:G22)</f>
        <v>164713</v>
      </c>
      <c r="H23" s="32" t="n">
        <f aca="false">SUM(H7:H12)+SUM(H14:H22)</f>
        <v>196053.579281729</v>
      </c>
      <c r="I23" s="31" t="n">
        <f aca="false">SUM(I7:I12)+SUM(I14:I22)</f>
        <v>235600.542520844</v>
      </c>
      <c r="J23" s="31" t="n">
        <f aca="false">SUM(J7:J12)+SUM(J14:J22)</f>
        <v>274049.858728218</v>
      </c>
      <c r="K23" s="31" t="n">
        <f aca="false">SUM(K7:K12)+SUM(K14:K22)</f>
        <v>311308.431170009</v>
      </c>
      <c r="L23" s="31" t="n">
        <f aca="false">SUM(L7:L12)+SUM(L14:L22)</f>
        <v>350206.023371158</v>
      </c>
    </row>
    <row r="25" customFormat="false" ht="15" hidden="false" customHeight="false" outlineLevel="0" collapsed="false">
      <c r="A25" s="4" t="s">
        <v>153</v>
      </c>
    </row>
    <row r="26" customFormat="false" ht="15" hidden="false" customHeight="false" outlineLevel="0" collapsed="false">
      <c r="A26" s="11" t="s">
        <v>154</v>
      </c>
      <c r="C26" s="19" t="n">
        <v>-24640</v>
      </c>
      <c r="D26" s="19" t="n">
        <v>-31485</v>
      </c>
      <c r="E26" s="19" t="n">
        <v>-32251</v>
      </c>
      <c r="F26" s="19" t="n">
        <v>-52535</v>
      </c>
      <c r="G26" s="19" t="n">
        <v>-91447</v>
      </c>
      <c r="H26" s="33" t="n">
        <f aca="false">-Schedules!H9</f>
        <v>-200000</v>
      </c>
      <c r="I26" s="34" t="n">
        <f aca="false">-Schedules!I9</f>
        <v>-260000</v>
      </c>
      <c r="J26" s="34" t="n">
        <f aca="false">-Schedules!J9</f>
        <v>-290000</v>
      </c>
      <c r="K26" s="34" t="n">
        <f aca="false">-Schedules!K9</f>
        <v>-300000</v>
      </c>
      <c r="L26" s="34" t="n">
        <f aca="false">-Schedules!L9</f>
        <v>-305000</v>
      </c>
    </row>
    <row r="27" customFormat="false" ht="15" hidden="false" customHeight="false" outlineLevel="0" collapsed="false">
      <c r="A27" s="11" t="s">
        <v>155</v>
      </c>
      <c r="C27" s="19" t="n">
        <v>-6902</v>
      </c>
      <c r="D27" s="19" t="n">
        <v>18948</v>
      </c>
      <c r="E27" s="19" t="n">
        <v>8814</v>
      </c>
      <c r="F27" s="19" t="n">
        <v>16749</v>
      </c>
      <c r="G27" s="19" t="n">
        <v>-20533</v>
      </c>
      <c r="H27" s="27" t="n">
        <f aca="false">-(BS!H8-BS!G8)</f>
        <v>-53865</v>
      </c>
      <c r="I27" s="28" t="n">
        <f aca="false">-(BS!I8-BS!H8)</f>
        <v>20000</v>
      </c>
      <c r="J27" s="28" t="n">
        <f aca="false">-(BS!J8-BS!I8)</f>
        <v>15000</v>
      </c>
      <c r="K27" s="28" t="n">
        <f aca="false">-(BS!K8-BS!J8)</f>
        <v>10000</v>
      </c>
      <c r="L27" s="28" t="n">
        <f aca="false">-(BS!L8-BS!K8)</f>
        <v>-0</v>
      </c>
    </row>
    <row r="28" customFormat="false" ht="15" hidden="false" customHeight="false" outlineLevel="0" collapsed="false">
      <c r="A28" s="11" t="s">
        <v>156</v>
      </c>
      <c r="C28" s="19" t="n">
        <v>-1904</v>
      </c>
      <c r="D28" s="19" t="n">
        <v>-2381</v>
      </c>
      <c r="E28" s="19" t="n">
        <v>-2080</v>
      </c>
      <c r="F28" s="19" t="n">
        <v>-4152</v>
      </c>
      <c r="G28" s="19" t="n">
        <v>-4349</v>
      </c>
      <c r="H28" s="33" t="n">
        <f aca="false">-Assumptions!H$80</f>
        <v>-22051</v>
      </c>
      <c r="I28" s="34" t="n">
        <f aca="false">-Assumptions!I$80</f>
        <v>-5000</v>
      </c>
      <c r="J28" s="34" t="n">
        <f aca="false">-Assumptions!J$80</f>
        <v>-5000</v>
      </c>
      <c r="K28" s="34" t="n">
        <f aca="false">-Assumptions!K$80</f>
        <v>-5000</v>
      </c>
      <c r="L28" s="34" t="n">
        <f aca="false">-Assumptions!L$80</f>
        <v>-5000</v>
      </c>
    </row>
    <row r="29" customFormat="false" ht="15" hidden="false" customHeight="false" outlineLevel="0" collapsed="false">
      <c r="A29" s="11" t="s">
        <v>157</v>
      </c>
      <c r="C29" s="19" t="n">
        <v>-2618</v>
      </c>
      <c r="D29" s="19" t="n">
        <v>-6969</v>
      </c>
      <c r="E29" s="19" t="n">
        <v>-495</v>
      </c>
      <c r="F29" s="19" t="n">
        <v>-2931</v>
      </c>
      <c r="G29" s="19" t="n">
        <v>-1592</v>
      </c>
      <c r="H29" s="33" t="n">
        <f aca="false">-Assumptions!H$81</f>
        <v>-33697</v>
      </c>
      <c r="I29" s="34" t="n">
        <f aca="false">-Assumptions!I$81</f>
        <v>-2000</v>
      </c>
      <c r="J29" s="34" t="n">
        <f aca="false">-Assumptions!J$81</f>
        <v>-2000</v>
      </c>
      <c r="K29" s="34" t="n">
        <f aca="false">-Assumptions!K$81</f>
        <v>-2000</v>
      </c>
      <c r="L29" s="34" t="n">
        <f aca="false">-Assumptions!L$81</f>
        <v>-2000</v>
      </c>
    </row>
    <row r="30" customFormat="false" ht="15" hidden="false" customHeight="false" outlineLevel="0" collapsed="false">
      <c r="A30" s="11" t="s">
        <v>158</v>
      </c>
      <c r="C30" s="19" t="n">
        <v>541</v>
      </c>
      <c r="D30" s="19" t="n">
        <v>1589</v>
      </c>
      <c r="E30" s="19" t="n">
        <v>-1051</v>
      </c>
      <c r="F30" s="19" t="n">
        <v>-2667</v>
      </c>
      <c r="G30" s="19" t="n">
        <v>-2370</v>
      </c>
      <c r="H30" s="18" t="n">
        <v>0</v>
      </c>
      <c r="I30" s="19" t="n">
        <v>0</v>
      </c>
      <c r="J30" s="19" t="n">
        <v>0</v>
      </c>
      <c r="K30" s="19" t="n">
        <v>0</v>
      </c>
      <c r="L30" s="19" t="n">
        <v>0</v>
      </c>
    </row>
    <row r="31" customFormat="false" ht="15" hidden="false" customHeight="false" outlineLevel="0" collapsed="false">
      <c r="A31" s="4" t="s">
        <v>159</v>
      </c>
      <c r="C31" s="31" t="n">
        <f aca="false">SUM(C26:C30)</f>
        <v>-35523</v>
      </c>
      <c r="D31" s="31" t="n">
        <f aca="false">SUM(D26:D30)</f>
        <v>-20298</v>
      </c>
      <c r="E31" s="31" t="n">
        <f aca="false">SUM(E26:E30)</f>
        <v>-27063</v>
      </c>
      <c r="F31" s="31" t="n">
        <f aca="false">SUM(F26:F30)</f>
        <v>-45536</v>
      </c>
      <c r="G31" s="31" t="n">
        <f aca="false">SUM(G26:G30)</f>
        <v>-120291</v>
      </c>
      <c r="H31" s="32" t="n">
        <f aca="false">SUM(H26:H30)</f>
        <v>-309613</v>
      </c>
      <c r="I31" s="31" t="n">
        <f aca="false">SUM(I26:I30)</f>
        <v>-247000</v>
      </c>
      <c r="J31" s="31" t="n">
        <f aca="false">SUM(J26:J30)</f>
        <v>-282000</v>
      </c>
      <c r="K31" s="31" t="n">
        <f aca="false">SUM(K26:K30)</f>
        <v>-297000</v>
      </c>
      <c r="L31" s="31" t="n">
        <f aca="false">SUM(L26:L30)</f>
        <v>-312000</v>
      </c>
    </row>
    <row r="33" customFormat="false" ht="15" hidden="false" customHeight="false" outlineLevel="0" collapsed="false">
      <c r="A33" s="4" t="s">
        <v>160</v>
      </c>
    </row>
    <row r="34" customFormat="false" ht="15" hidden="false" customHeight="false" outlineLevel="0" collapsed="false">
      <c r="A34" s="11" t="s">
        <v>161</v>
      </c>
      <c r="C34" s="19" t="n">
        <v>-10162</v>
      </c>
      <c r="D34" s="19" t="n">
        <v>-9300</v>
      </c>
      <c r="E34" s="19" t="n">
        <v>-9837</v>
      </c>
      <c r="F34" s="19" t="n">
        <v>-12190</v>
      </c>
      <c r="G34" s="19" t="n">
        <v>-14167</v>
      </c>
      <c r="H34" s="33" t="n">
        <f aca="false">-Schedules!H33</f>
        <v>-24000</v>
      </c>
      <c r="I34" s="34" t="n">
        <f aca="false">-Schedules!I33</f>
        <v>-20000</v>
      </c>
      <c r="J34" s="34" t="n">
        <f aca="false">-Schedules!J33</f>
        <v>-21000</v>
      </c>
      <c r="K34" s="34" t="n">
        <f aca="false">-Schedules!K33</f>
        <v>-22000</v>
      </c>
      <c r="L34" s="34" t="n">
        <f aca="false">-Schedules!L33</f>
        <v>-23000</v>
      </c>
    </row>
    <row r="35" customFormat="false" ht="15" hidden="false" customHeight="false" outlineLevel="0" collapsed="false">
      <c r="A35" s="11" t="s">
        <v>162</v>
      </c>
      <c r="C35" s="19" t="n">
        <v>-50274</v>
      </c>
      <c r="D35" s="19" t="n">
        <v>-59296</v>
      </c>
      <c r="E35" s="19" t="n">
        <v>-61504</v>
      </c>
      <c r="F35" s="19" t="n">
        <v>-62222</v>
      </c>
      <c r="G35" s="19" t="n">
        <v>-45709</v>
      </c>
      <c r="H35" s="33" t="n">
        <f aca="false">-Schedules!H31</f>
        <v>-0</v>
      </c>
      <c r="I35" s="34" t="n">
        <f aca="false">-Schedules!I31</f>
        <v>-0</v>
      </c>
      <c r="J35" s="34" t="n">
        <f aca="false">-Schedules!J31</f>
        <v>-20000</v>
      </c>
      <c r="K35" s="34" t="n">
        <f aca="false">-Schedules!K31</f>
        <v>-40000</v>
      </c>
      <c r="L35" s="34" t="n">
        <f aca="false">-Schedules!L31</f>
        <v>-60000</v>
      </c>
    </row>
    <row r="36" customFormat="false" ht="15" hidden="false" customHeight="false" outlineLevel="0" collapsed="false">
      <c r="A36" s="11" t="s">
        <v>163</v>
      </c>
      <c r="C36" s="19" t="n">
        <v>0</v>
      </c>
      <c r="D36" s="19" t="n">
        <v>0</v>
      </c>
      <c r="E36" s="19" t="n">
        <v>0</v>
      </c>
      <c r="F36" s="19" t="n">
        <v>-7363</v>
      </c>
      <c r="G36" s="19" t="n">
        <v>-10049</v>
      </c>
      <c r="H36" s="33" t="n">
        <f aca="false">-Schedules!H29</f>
        <v>-10956.1232</v>
      </c>
      <c r="I36" s="34" t="n">
        <f aca="false">-Schedules!I29</f>
        <v>-12185.3255222</v>
      </c>
      <c r="J36" s="34" t="n">
        <f aca="false">-Schedules!J29</f>
        <v>-13355.8705038068</v>
      </c>
      <c r="K36" s="34" t="n">
        <f aca="false">-Schedules!K29</f>
        <v>-14712.3733513915</v>
      </c>
      <c r="L36" s="34" t="n">
        <f aca="false">-Schedules!L29</f>
        <v>-16140.2280471612</v>
      </c>
    </row>
    <row r="37" customFormat="false" ht="15" hidden="false" customHeight="false" outlineLevel="0" collapsed="false">
      <c r="A37" s="11" t="s">
        <v>164</v>
      </c>
      <c r="C37" s="19" t="n">
        <v>0</v>
      </c>
      <c r="D37" s="19" t="n">
        <v>0</v>
      </c>
      <c r="E37" s="19" t="n">
        <v>0</v>
      </c>
      <c r="F37" s="19" t="n">
        <v>0</v>
      </c>
      <c r="G37" s="19" t="n">
        <v>0</v>
      </c>
      <c r="H37" s="33" t="n">
        <f aca="false">-Schedules!H30</f>
        <v>-400</v>
      </c>
      <c r="I37" s="34" t="n">
        <f aca="false">-Schedules!I30</f>
        <v>-1188</v>
      </c>
      <c r="J37" s="34" t="n">
        <f aca="false">-Schedules!J30</f>
        <v>-1188</v>
      </c>
      <c r="K37" s="34" t="n">
        <f aca="false">-Schedules!K30</f>
        <v>-1188</v>
      </c>
      <c r="L37" s="34" t="n">
        <f aca="false">-Schedules!L30</f>
        <v>-1188</v>
      </c>
    </row>
    <row r="38" customFormat="false" ht="15" hidden="false" customHeight="false" outlineLevel="0" collapsed="false">
      <c r="A38" s="11" t="s">
        <v>165</v>
      </c>
      <c r="C38" s="19" t="n">
        <v>20199</v>
      </c>
      <c r="D38" s="19" t="n">
        <v>52872</v>
      </c>
      <c r="E38" s="19" t="n">
        <v>10790</v>
      </c>
      <c r="F38" s="19" t="n">
        <v>13589</v>
      </c>
      <c r="G38" s="19" t="n">
        <v>64564</v>
      </c>
      <c r="H38" s="33" t="n">
        <f aca="false">Schedules!H18</f>
        <v>60000</v>
      </c>
      <c r="I38" s="34" t="n">
        <f aca="false">Schedules!I18</f>
        <v>45000</v>
      </c>
      <c r="J38" s="34" t="n">
        <f aca="false">Schedules!J18</f>
        <v>45000</v>
      </c>
      <c r="K38" s="34" t="n">
        <f aca="false">Schedules!K18</f>
        <v>40000</v>
      </c>
      <c r="L38" s="34" t="n">
        <f aca="false">Schedules!L18</f>
        <v>40000</v>
      </c>
    </row>
    <row r="39" customFormat="false" ht="15" hidden="false" customHeight="false" outlineLevel="0" collapsed="false">
      <c r="A39" s="11" t="s">
        <v>166</v>
      </c>
      <c r="C39" s="19" t="n">
        <v>-21435</v>
      </c>
      <c r="D39" s="19" t="n">
        <v>-54068</v>
      </c>
      <c r="E39" s="19" t="n">
        <v>-11550</v>
      </c>
      <c r="F39" s="19" t="n">
        <v>-12701</v>
      </c>
      <c r="G39" s="19" t="n">
        <v>-32427</v>
      </c>
      <c r="H39" s="33" t="n">
        <f aca="false">Schedules!H19</f>
        <v>-5253</v>
      </c>
      <c r="I39" s="34" t="n">
        <f aca="false">Schedules!I19</f>
        <v>-8000</v>
      </c>
      <c r="J39" s="34" t="n">
        <f aca="false">Schedules!J19</f>
        <v>-10000</v>
      </c>
      <c r="K39" s="34" t="n">
        <f aca="false">Schedules!K19</f>
        <v>-12000</v>
      </c>
      <c r="L39" s="34" t="n">
        <f aca="false">Schedules!L19</f>
        <v>-15000</v>
      </c>
    </row>
    <row r="40" customFormat="false" ht="15" hidden="false" customHeight="false" outlineLevel="0" collapsed="false">
      <c r="A40" s="11" t="s">
        <v>167</v>
      </c>
      <c r="C40" s="19" t="n">
        <v>0</v>
      </c>
      <c r="D40" s="19" t="n">
        <v>0</v>
      </c>
      <c r="E40" s="19" t="n">
        <v>0</v>
      </c>
      <c r="F40" s="19" t="n">
        <v>0</v>
      </c>
      <c r="G40" s="19" t="n">
        <v>0</v>
      </c>
      <c r="H40" s="33" t="n">
        <f aca="false">Schedules!H34+Schedules!H35</f>
        <v>49562</v>
      </c>
      <c r="I40" s="34" t="n">
        <f aca="false">Schedules!I34+Schedules!I35</f>
        <v>10000</v>
      </c>
      <c r="J40" s="34" t="n">
        <f aca="false">Schedules!J34+Schedules!J35</f>
        <v>10000</v>
      </c>
      <c r="K40" s="34" t="n">
        <f aca="false">Schedules!K34+Schedules!K35</f>
        <v>10000</v>
      </c>
      <c r="L40" s="34" t="n">
        <f aca="false">Schedules!L34+Schedules!L35</f>
        <v>10000</v>
      </c>
    </row>
    <row r="41" customFormat="false" ht="15" hidden="false" customHeight="false" outlineLevel="0" collapsed="false">
      <c r="A41" s="11" t="s">
        <v>168</v>
      </c>
      <c r="C41" s="19" t="n">
        <v>310</v>
      </c>
      <c r="D41" s="19" t="n">
        <v>35</v>
      </c>
      <c r="E41" s="19" t="n">
        <v>8</v>
      </c>
      <c r="F41" s="19" t="n">
        <v>1154</v>
      </c>
      <c r="G41" s="19" t="n">
        <v>400</v>
      </c>
      <c r="H41" s="18" t="n">
        <v>0</v>
      </c>
      <c r="I41" s="19" t="n">
        <v>0</v>
      </c>
      <c r="J41" s="19" t="n">
        <v>0</v>
      </c>
      <c r="K41" s="19" t="n">
        <v>0</v>
      </c>
      <c r="L41" s="19" t="n">
        <v>0</v>
      </c>
    </row>
    <row r="42" customFormat="false" ht="15" hidden="false" customHeight="false" outlineLevel="0" collapsed="false">
      <c r="A42" s="4" t="s">
        <v>169</v>
      </c>
      <c r="C42" s="31" t="n">
        <f aca="false">SUM(C34:C41)</f>
        <v>-61362</v>
      </c>
      <c r="D42" s="31" t="n">
        <f aca="false">SUM(D34:D41)</f>
        <v>-69757</v>
      </c>
      <c r="E42" s="31" t="n">
        <f aca="false">SUM(E34:E41)</f>
        <v>-72093</v>
      </c>
      <c r="F42" s="31" t="n">
        <f aca="false">SUM(F34:F41)</f>
        <v>-79733</v>
      </c>
      <c r="G42" s="31" t="n">
        <f aca="false">SUM(G34:G41)</f>
        <v>-37388</v>
      </c>
      <c r="H42" s="32" t="n">
        <f aca="false">SUM(H34:H41)</f>
        <v>68952.8768</v>
      </c>
      <c r="I42" s="31" t="n">
        <f aca="false">SUM(I34:I41)</f>
        <v>13626.6744778</v>
      </c>
      <c r="J42" s="31" t="n">
        <f aca="false">SUM(J34:J41)</f>
        <v>-10543.8705038068</v>
      </c>
      <c r="K42" s="31" t="n">
        <f aca="false">SUM(K34:K41)</f>
        <v>-39900.3733513916</v>
      </c>
      <c r="L42" s="31" t="n">
        <f aca="false">SUM(L34:L41)</f>
        <v>-65328.2280471612</v>
      </c>
    </row>
    <row r="44" customFormat="false" ht="15" hidden="false" customHeight="false" outlineLevel="0" collapsed="false">
      <c r="A44" s="11" t="s">
        <v>170</v>
      </c>
      <c r="C44" s="19" t="n">
        <v>-287</v>
      </c>
      <c r="D44" s="19" t="n">
        <v>-506</v>
      </c>
      <c r="E44" s="19" t="n">
        <v>-421</v>
      </c>
      <c r="F44" s="19" t="n">
        <v>-612</v>
      </c>
      <c r="G44" s="19" t="n">
        <v>208</v>
      </c>
      <c r="H44" s="18" t="n">
        <v>0</v>
      </c>
      <c r="I44" s="19" t="n">
        <v>0</v>
      </c>
      <c r="J44" s="19" t="n">
        <v>0</v>
      </c>
      <c r="K44" s="19" t="n">
        <v>0</v>
      </c>
      <c r="L44" s="19" t="n">
        <v>0</v>
      </c>
    </row>
    <row r="45" customFormat="false" ht="15" hidden="false" customHeight="false" outlineLevel="0" collapsed="false">
      <c r="A45" s="4" t="s">
        <v>171</v>
      </c>
      <c r="C45" s="31" t="n">
        <f aca="false">C23+C31+C42+C44</f>
        <v>-5520</v>
      </c>
      <c r="D45" s="31" t="n">
        <f aca="false">D23+D31+D42+D44</f>
        <v>934</v>
      </c>
      <c r="E45" s="31" t="n">
        <f aca="false">E23+E31+E42+E44</f>
        <v>2169</v>
      </c>
      <c r="F45" s="31" t="n">
        <f aca="false">F23+F31+F42+F44</f>
        <v>-582</v>
      </c>
      <c r="G45" s="31" t="n">
        <f aca="false">G23+G31+G42+G44</f>
        <v>7242</v>
      </c>
      <c r="H45" s="32" t="n">
        <f aca="false">H23+H31+H42+H44</f>
        <v>-44606.5439182712</v>
      </c>
      <c r="I45" s="31" t="n">
        <f aca="false">I23+I31+I42+I44</f>
        <v>2227.21699864441</v>
      </c>
      <c r="J45" s="31" t="n">
        <f aca="false">J23+J31+J42+J44</f>
        <v>-18494.0117755886</v>
      </c>
      <c r="K45" s="31" t="n">
        <f aca="false">K23+K31+K42+K44</f>
        <v>-25591.9421813826</v>
      </c>
      <c r="L45" s="31" t="n">
        <f aca="false">L23+L31+L42+L44</f>
        <v>-27122.2046760033</v>
      </c>
    </row>
    <row r="46" customFormat="false" ht="15" hidden="false" customHeight="false" outlineLevel="0" collapsed="false">
      <c r="A46" s="11" t="s">
        <v>172</v>
      </c>
      <c r="C46" s="19" t="n">
        <v>26465</v>
      </c>
      <c r="D46" s="28" t="n">
        <f aca="false">C47</f>
        <v>20945</v>
      </c>
      <c r="E46" s="28" t="n">
        <f aca="false">D47</f>
        <v>21879</v>
      </c>
      <c r="F46" s="28" t="n">
        <f aca="false">E47</f>
        <v>24048</v>
      </c>
      <c r="G46" s="28" t="n">
        <f aca="false">F47</f>
        <v>23466</v>
      </c>
      <c r="H46" s="27" t="n">
        <f aca="false">G47</f>
        <v>30708</v>
      </c>
      <c r="I46" s="28" t="n">
        <f aca="false">H47</f>
        <v>-13898.5439182712</v>
      </c>
      <c r="J46" s="28" t="n">
        <f aca="false">I47</f>
        <v>-11671.3269196268</v>
      </c>
      <c r="K46" s="28" t="n">
        <f aca="false">J47</f>
        <v>-30165.3386952153</v>
      </c>
      <c r="L46" s="28" t="n">
        <f aca="false">K47</f>
        <v>-55757.2808765979</v>
      </c>
    </row>
    <row r="47" customFormat="false" ht="15" hidden="false" customHeight="false" outlineLevel="0" collapsed="false">
      <c r="A47" s="4" t="s">
        <v>173</v>
      </c>
      <c r="C47" s="31" t="n">
        <f aca="false">C46+C45</f>
        <v>20945</v>
      </c>
      <c r="D47" s="31" t="n">
        <f aca="false">D46+D45</f>
        <v>21879</v>
      </c>
      <c r="E47" s="31" t="n">
        <f aca="false">E46+E45</f>
        <v>24048</v>
      </c>
      <c r="F47" s="31" t="n">
        <f aca="false">F46+F45</f>
        <v>23466</v>
      </c>
      <c r="G47" s="31" t="n">
        <f aca="false">G46+G45</f>
        <v>30708</v>
      </c>
      <c r="H47" s="32" t="n">
        <f aca="false">H46+H45</f>
        <v>-13898.5439182712</v>
      </c>
      <c r="I47" s="31" t="n">
        <f aca="false">I46+I45</f>
        <v>-11671.3269196268</v>
      </c>
      <c r="J47" s="31" t="n">
        <f aca="false">J46+J45</f>
        <v>-30165.3386952153</v>
      </c>
      <c r="K47" s="31" t="n">
        <f aca="false">K46+K45</f>
        <v>-55757.2808765979</v>
      </c>
      <c r="L47" s="31" t="n">
        <f aca="false">L46+L45</f>
        <v>-82879.4855526013</v>
      </c>
    </row>
    <row r="49" customFormat="false" ht="15" hidden="false" customHeight="false" outlineLevel="0" collapsed="false">
      <c r="A49" s="4" t="s">
        <v>174</v>
      </c>
      <c r="C49" s="31" t="n">
        <f aca="false">C23+C26</f>
        <v>67012</v>
      </c>
      <c r="D49" s="31" t="n">
        <f aca="false">D23+D26</f>
        <v>60010</v>
      </c>
      <c r="E49" s="31" t="n">
        <f aca="false">E23+E26</f>
        <v>69495</v>
      </c>
      <c r="F49" s="31" t="n">
        <f aca="false">F23+F26</f>
        <v>72764</v>
      </c>
      <c r="G49" s="31" t="n">
        <f aca="false">G23+G26</f>
        <v>73266</v>
      </c>
      <c r="H49" s="32" t="n">
        <f aca="false">H23+H26</f>
        <v>-3946.4207182712</v>
      </c>
      <c r="I49" s="31" t="n">
        <f aca="false">I23+I26</f>
        <v>-24399.4574791556</v>
      </c>
      <c r="J49" s="31" t="n">
        <f aca="false">J23+J26</f>
        <v>-15950.1412717818</v>
      </c>
      <c r="K49" s="31" t="n">
        <f aca="false">K23+K26</f>
        <v>11308.431170009</v>
      </c>
      <c r="L49" s="31" t="n">
        <f aca="false">L23+L26</f>
        <v>45206.0233711579</v>
      </c>
    </row>
    <row r="50" customFormat="false" ht="15" hidden="false" customHeight="false" outlineLevel="0" collapsed="false">
      <c r="A50" s="11" t="s">
        <v>175</v>
      </c>
      <c r="C50" s="29" t="n">
        <f aca="false">C49/IS!C6</f>
        <v>0.260102392125355</v>
      </c>
      <c r="D50" s="29" t="n">
        <f aca="false">D49/IS!D6</f>
        <v>0.212172425009546</v>
      </c>
      <c r="E50" s="29" t="n">
        <f aca="false">E49/IS!E6</f>
        <v>0.226077932555613</v>
      </c>
      <c r="F50" s="29" t="n">
        <f aca="false">F49/IS!F6</f>
        <v>0.20788645155392</v>
      </c>
      <c r="G50" s="29" t="n">
        <f aca="false">G49/IS!G6</f>
        <v>0.181875502685957</v>
      </c>
      <c r="H50" s="30" t="n">
        <f aca="false">H49/IS!H6</f>
        <v>-0.00809635863190967</v>
      </c>
      <c r="I50" s="29" t="n">
        <f aca="false">I49/IS!I6</f>
        <v>-0.0427839288077109</v>
      </c>
      <c r="J50" s="29" t="n">
        <f aca="false">J49/IS!J6</f>
        <v>-0.0245335376040464</v>
      </c>
      <c r="K50" s="29" t="n">
        <f aca="false">K49/IS!K6</f>
        <v>0.0155303047514052</v>
      </c>
      <c r="L50" s="29" t="n">
        <f aca="false">L49/IS!L6</f>
        <v>0.0559307889455438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3"/>
    <col collapsed="false" customWidth="true" hidden="false" outlineLevel="0" max="12" min="3" style="0" width="13"/>
  </cols>
  <sheetData>
    <row r="1" customFormat="false" ht="15" hidden="false" customHeight="false" outlineLevel="0" collapsed="false">
      <c r="A1" s="1" t="s">
        <v>176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177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6"/>
      <c r="B5" s="6"/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8" t="s">
        <v>10</v>
      </c>
      <c r="I5" s="7" t="s">
        <v>11</v>
      </c>
      <c r="J5" s="7" t="s">
        <v>12</v>
      </c>
      <c r="K5" s="7" t="s">
        <v>13</v>
      </c>
      <c r="L5" s="7" t="s">
        <v>14</v>
      </c>
    </row>
    <row r="6" customFormat="false" ht="15" hidden="false" customHeight="false" outlineLevel="0" collapsed="false">
      <c r="A6" s="9" t="s">
        <v>178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customFormat="false" ht="15" hidden="false" customHeight="false" outlineLevel="0" collapsed="false">
      <c r="A7" s="11" t="s">
        <v>179</v>
      </c>
      <c r="C7" s="19" t="n">
        <v>84749</v>
      </c>
      <c r="D7" s="28" t="n">
        <f aca="false">C10</f>
        <v>97599</v>
      </c>
      <c r="E7" s="28" t="n">
        <f aca="false">D10</f>
        <v>112668</v>
      </c>
      <c r="F7" s="28" t="n">
        <f aca="false">E10</f>
        <v>134345</v>
      </c>
      <c r="G7" s="28" t="n">
        <f aca="false">F10</f>
        <v>171036</v>
      </c>
      <c r="H7" s="27" t="n">
        <f aca="false">G10</f>
        <v>246597</v>
      </c>
      <c r="I7" s="28" t="n">
        <f aca="false">H10</f>
        <v>414539.39</v>
      </c>
      <c r="J7" s="28" t="n">
        <f aca="false">I10</f>
        <v>612358.4815</v>
      </c>
      <c r="K7" s="28" t="n">
        <f aca="false">J10</f>
        <v>801319.3320525</v>
      </c>
      <c r="L7" s="28" t="n">
        <f aca="false">K10</f>
        <v>961088.448943313</v>
      </c>
    </row>
    <row r="8" customFormat="false" ht="15" hidden="false" customHeight="false" outlineLevel="0" collapsed="false">
      <c r="A8" s="11" t="s">
        <v>180</v>
      </c>
      <c r="C8" s="19" t="n">
        <v>10273</v>
      </c>
      <c r="D8" s="19" t="n">
        <v>13475</v>
      </c>
      <c r="E8" s="19" t="n">
        <v>11946</v>
      </c>
      <c r="F8" s="19" t="n">
        <v>15311</v>
      </c>
      <c r="G8" s="19" t="n">
        <v>21136</v>
      </c>
      <c r="H8" s="27" t="n">
        <f aca="false">H7*Assumptions!H$44</f>
        <v>32057.61</v>
      </c>
      <c r="I8" s="28" t="n">
        <f aca="false">I7*Assumptions!I$44</f>
        <v>62180.9085</v>
      </c>
      <c r="J8" s="28" t="n">
        <f aca="false">J7*Assumptions!J$44</f>
        <v>101039.1494475</v>
      </c>
      <c r="K8" s="28" t="n">
        <f aca="false">K7*Assumptions!K$44</f>
        <v>140230.883109187</v>
      </c>
      <c r="L8" s="28" t="n">
        <f aca="false">L7*Assumptions!L$44</f>
        <v>172995.920809796</v>
      </c>
    </row>
    <row r="9" customFormat="false" ht="15" hidden="false" customHeight="false" outlineLevel="0" collapsed="false">
      <c r="A9" s="11" t="s">
        <v>181</v>
      </c>
      <c r="C9" s="19" t="n">
        <v>24640</v>
      </c>
      <c r="D9" s="19" t="n">
        <v>31485</v>
      </c>
      <c r="E9" s="19" t="n">
        <v>32251</v>
      </c>
      <c r="F9" s="19" t="n">
        <v>52535</v>
      </c>
      <c r="G9" s="19" t="n">
        <v>91447</v>
      </c>
      <c r="H9" s="33" t="n">
        <f aca="false">Assumptions!H$50</f>
        <v>200000</v>
      </c>
      <c r="I9" s="34" t="n">
        <f aca="false">Assumptions!I$50</f>
        <v>260000</v>
      </c>
      <c r="J9" s="34" t="n">
        <f aca="false">Assumptions!J$50</f>
        <v>290000</v>
      </c>
      <c r="K9" s="34" t="n">
        <f aca="false">Assumptions!K$50</f>
        <v>300000</v>
      </c>
      <c r="L9" s="34" t="n">
        <f aca="false">Assumptions!L$50</f>
        <v>305000</v>
      </c>
    </row>
    <row r="10" customFormat="false" ht="15" hidden="false" customHeight="false" outlineLevel="0" collapsed="false">
      <c r="A10" s="4" t="s">
        <v>182</v>
      </c>
      <c r="C10" s="19" t="n">
        <v>97599</v>
      </c>
      <c r="D10" s="19" t="n">
        <v>112668</v>
      </c>
      <c r="E10" s="19" t="n">
        <v>134345</v>
      </c>
      <c r="F10" s="19" t="n">
        <v>171036</v>
      </c>
      <c r="G10" s="19" t="n">
        <v>246597</v>
      </c>
      <c r="H10" s="32" t="n">
        <f aca="false">H7-H8+H9</f>
        <v>414539.39</v>
      </c>
      <c r="I10" s="31" t="n">
        <f aca="false">I7-I8+I9</f>
        <v>612358.4815</v>
      </c>
      <c r="J10" s="31" t="n">
        <f aca="false">J7-J8+J9</f>
        <v>801319.3320525</v>
      </c>
      <c r="K10" s="31" t="n">
        <f aca="false">K7-K8+K9</f>
        <v>961088.448943313</v>
      </c>
      <c r="L10" s="31" t="n">
        <f aca="false">L7-L8+L9</f>
        <v>1093092.52813352</v>
      </c>
    </row>
    <row r="11" customFormat="false" ht="15" hidden="false" customHeight="false" outlineLevel="0" collapsed="false">
      <c r="A11" s="11" t="s">
        <v>183</v>
      </c>
      <c r="C11" s="29" t="n">
        <f aca="false">C9/IS!C6</f>
        <v>0.0956384370257378</v>
      </c>
      <c r="D11" s="29" t="n">
        <f aca="false">D9/IS!D6</f>
        <v>0.111318926869281</v>
      </c>
      <c r="E11" s="29" t="n">
        <f aca="false">E9/IS!E6</f>
        <v>0.104917467484726</v>
      </c>
      <c r="F11" s="29" t="n">
        <f aca="false">F9/IS!F6</f>
        <v>0.150092280968407</v>
      </c>
      <c r="G11" s="29" t="n">
        <f aca="false">G9/IS!G6</f>
        <v>0.227008013186508</v>
      </c>
      <c r="H11" s="30" t="n">
        <f aca="false">H9/IS!H6</f>
        <v>0.410314014135646</v>
      </c>
      <c r="I11" s="29" t="n">
        <f aca="false">I9/IS!I6</f>
        <v>0.455904460150718</v>
      </c>
      <c r="J11" s="29" t="n">
        <f aca="false">J9/IS!J6</f>
        <v>0.44606036924328</v>
      </c>
      <c r="K11" s="29" t="n">
        <f aca="false">K9/IS!K6</f>
        <v>0.412001572576921</v>
      </c>
      <c r="L11" s="29" t="n">
        <f aca="false">L9/IS!L6</f>
        <v>0.377358797705588</v>
      </c>
    </row>
    <row r="12" customFormat="false" ht="15" hidden="false" customHeight="false" outlineLevel="0" collapsed="false">
      <c r="A12" s="11" t="s">
        <v>184</v>
      </c>
      <c r="C12" s="29" t="n">
        <f aca="false">C8/IS!C6</f>
        <v>0.0398739311511933</v>
      </c>
      <c r="D12" s="29" t="n">
        <f aca="false">D8/IS!D6</f>
        <v>0.0476424500417203</v>
      </c>
      <c r="E12" s="29" t="n">
        <f aca="false">E8/IS!E6</f>
        <v>0.0388621768804856</v>
      </c>
      <c r="F12" s="29" t="n">
        <f aca="false">F8/IS!F6</f>
        <v>0.0437434646218194</v>
      </c>
      <c r="G12" s="29" t="n">
        <f aca="false">G8/IS!G6</f>
        <v>0.0524680018667646</v>
      </c>
      <c r="H12" s="30" t="n">
        <f aca="false">H8/IS!H6</f>
        <v>0.0657684332134751</v>
      </c>
      <c r="I12" s="29" t="n">
        <f aca="false">I8/IS!I6</f>
        <v>0.10903289815913</v>
      </c>
      <c r="J12" s="29" t="n">
        <f aca="false">J8/IS!J6</f>
        <v>0.15541227693303</v>
      </c>
      <c r="K12" s="29" t="n">
        <f aca="false">K8/IS!K6</f>
        <v>0.192584481216119</v>
      </c>
      <c r="L12" s="29" t="n">
        <f aca="false">L8/IS!L6</f>
        <v>0.214037812081167</v>
      </c>
    </row>
    <row r="13" customFormat="false" ht="15" hidden="false" customHeight="false" outlineLevel="0" collapsed="false">
      <c r="A13" s="11" t="s">
        <v>185</v>
      </c>
      <c r="C13" s="29" t="n">
        <f aca="false">C8/C7</f>
        <v>0.121216769519404</v>
      </c>
      <c r="D13" s="29" t="n">
        <f aca="false">D8/D7</f>
        <v>0.138064939189951</v>
      </c>
      <c r="E13" s="29" t="n">
        <f aca="false">E8/E7</f>
        <v>0.106028331025668</v>
      </c>
      <c r="F13" s="29" t="n">
        <f aca="false">F8/F7</f>
        <v>0.11396776954855</v>
      </c>
      <c r="G13" s="29" t="n">
        <f aca="false">G8/G7</f>
        <v>0.123576323113263</v>
      </c>
      <c r="H13" s="30" t="n">
        <f aca="false">H8/H7</f>
        <v>0.13</v>
      </c>
      <c r="I13" s="29" t="n">
        <f aca="false">I8/I7</f>
        <v>0.15</v>
      </c>
      <c r="J13" s="29" t="n">
        <f aca="false">J8/J7</f>
        <v>0.165</v>
      </c>
      <c r="K13" s="29" t="n">
        <f aca="false">K8/K7</f>
        <v>0.175</v>
      </c>
      <c r="L13" s="29" t="n">
        <f aca="false">L8/L7</f>
        <v>0.18</v>
      </c>
    </row>
    <row r="14" customFormat="false" ht="15" hidden="false" customHeight="false" outlineLevel="0" collapsed="false">
      <c r="A14" s="11" t="s">
        <v>186</v>
      </c>
      <c r="C14" s="39" t="n">
        <f aca="false">C10/C8</f>
        <v>9.50053538401635</v>
      </c>
      <c r="D14" s="39" t="n">
        <f aca="false">D10/D8</f>
        <v>8.36126159554731</v>
      </c>
      <c r="E14" s="39" t="n">
        <f aca="false">E10/E8</f>
        <v>11.2460237736481</v>
      </c>
      <c r="F14" s="39" t="n">
        <f aca="false">F10/F8</f>
        <v>11.1707922408726</v>
      </c>
      <c r="G14" s="39" t="n">
        <f aca="false">G10/G8</f>
        <v>11.6671555639667</v>
      </c>
      <c r="H14" s="40" t="n">
        <f aca="false">H10/H8</f>
        <v>12.9310759598111</v>
      </c>
      <c r="I14" s="39" t="n">
        <f aca="false">I10/I8</f>
        <v>9.84801438692392</v>
      </c>
      <c r="J14" s="39" t="n">
        <f aca="false">J10/J8</f>
        <v>7.93078065714385</v>
      </c>
      <c r="K14" s="39" t="n">
        <f aca="false">K10/K8</f>
        <v>6.85361475043257</v>
      </c>
      <c r="L14" s="39" t="n">
        <f aca="false">L10/L8</f>
        <v>6.31860290703235</v>
      </c>
    </row>
    <row r="16" customFormat="false" ht="15" hidden="false" customHeight="false" outlineLevel="0" collapsed="false">
      <c r="A16" s="9" t="s">
        <v>187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customFormat="false" ht="15" hidden="false" customHeight="false" outlineLevel="0" collapsed="false">
      <c r="A17" s="11" t="s">
        <v>188</v>
      </c>
      <c r="C17" s="19" t="n">
        <v>13932</v>
      </c>
      <c r="D17" s="28" t="n">
        <f aca="false">C20</f>
        <v>14817</v>
      </c>
      <c r="E17" s="28" t="n">
        <f aca="false">D20</f>
        <v>14701</v>
      </c>
      <c r="F17" s="28" t="n">
        <f aca="false">E20</f>
        <v>13253</v>
      </c>
      <c r="G17" s="28" t="n">
        <f aca="false">F20</f>
        <v>10883</v>
      </c>
      <c r="H17" s="27" t="n">
        <f aca="false">G20</f>
        <v>46547</v>
      </c>
      <c r="I17" s="28" t="n">
        <f aca="false">H20</f>
        <v>101294</v>
      </c>
      <c r="J17" s="28" t="n">
        <f aca="false">I20</f>
        <v>138294</v>
      </c>
      <c r="K17" s="28" t="n">
        <f aca="false">J20</f>
        <v>173294</v>
      </c>
      <c r="L17" s="28" t="n">
        <f aca="false">K20</f>
        <v>201294</v>
      </c>
    </row>
    <row r="18" customFormat="false" ht="15" hidden="false" customHeight="false" outlineLevel="0" collapsed="false">
      <c r="A18" s="11" t="s">
        <v>189</v>
      </c>
      <c r="C18" s="19" t="n">
        <v>20199</v>
      </c>
      <c r="D18" s="19" t="n">
        <v>52872</v>
      </c>
      <c r="E18" s="19" t="n">
        <v>10790</v>
      </c>
      <c r="F18" s="19" t="n">
        <v>13589</v>
      </c>
      <c r="G18" s="19" t="n">
        <v>64564</v>
      </c>
      <c r="H18" s="33" t="n">
        <f aca="false">Assumptions!H$87</f>
        <v>60000</v>
      </c>
      <c r="I18" s="34" t="n">
        <f aca="false">Assumptions!I$87</f>
        <v>45000</v>
      </c>
      <c r="J18" s="34" t="n">
        <f aca="false">Assumptions!J$87</f>
        <v>45000</v>
      </c>
      <c r="K18" s="34" t="n">
        <f aca="false">Assumptions!K$87</f>
        <v>40000</v>
      </c>
      <c r="L18" s="34" t="n">
        <f aca="false">Assumptions!L$87</f>
        <v>40000</v>
      </c>
    </row>
    <row r="19" customFormat="false" ht="15" hidden="false" customHeight="false" outlineLevel="0" collapsed="false">
      <c r="A19" s="11" t="s">
        <v>190</v>
      </c>
      <c r="C19" s="19" t="n">
        <v>-21435</v>
      </c>
      <c r="D19" s="19" t="n">
        <v>-54068</v>
      </c>
      <c r="E19" s="19" t="n">
        <v>-11550</v>
      </c>
      <c r="F19" s="19" t="n">
        <v>-12701</v>
      </c>
      <c r="G19" s="19" t="n">
        <v>-32427</v>
      </c>
      <c r="H19" s="33" t="n">
        <f aca="false">-Assumptions!H$88</f>
        <v>-5253</v>
      </c>
      <c r="I19" s="34" t="n">
        <f aca="false">-Assumptions!I$88</f>
        <v>-8000</v>
      </c>
      <c r="J19" s="34" t="n">
        <f aca="false">-Assumptions!J$88</f>
        <v>-10000</v>
      </c>
      <c r="K19" s="34" t="n">
        <f aca="false">-Assumptions!K$88</f>
        <v>-12000</v>
      </c>
      <c r="L19" s="34" t="n">
        <f aca="false">-Assumptions!L$88</f>
        <v>-15000</v>
      </c>
    </row>
    <row r="20" customFormat="false" ht="15" hidden="false" customHeight="false" outlineLevel="0" collapsed="false">
      <c r="A20" s="4" t="s">
        <v>191</v>
      </c>
      <c r="C20" s="19" t="n">
        <v>14817</v>
      </c>
      <c r="D20" s="19" t="n">
        <v>14701</v>
      </c>
      <c r="E20" s="19" t="n">
        <v>13253</v>
      </c>
      <c r="F20" s="19" t="n">
        <v>10883</v>
      </c>
      <c r="G20" s="19" t="n">
        <v>46547</v>
      </c>
      <c r="H20" s="32" t="n">
        <f aca="false">H17+H18+H19</f>
        <v>101294</v>
      </c>
      <c r="I20" s="31" t="n">
        <f aca="false">I17+I18+I19</f>
        <v>138294</v>
      </c>
      <c r="J20" s="31" t="n">
        <f aca="false">J17+J18+J19</f>
        <v>173294</v>
      </c>
      <c r="K20" s="31" t="n">
        <f aca="false">K17+K18+K19</f>
        <v>201294</v>
      </c>
      <c r="L20" s="31" t="n">
        <f aca="false">L17+L18+L19</f>
        <v>226294</v>
      </c>
    </row>
    <row r="21" customFormat="false" ht="15" hidden="false" customHeight="false" outlineLevel="0" collapsed="false">
      <c r="A21" s="11" t="s">
        <v>192</v>
      </c>
      <c r="H21" s="33" t="n">
        <f aca="false">IS!H18</f>
        <v>-2001.521</v>
      </c>
      <c r="I21" s="34" t="n">
        <f aca="false">IS!I18</f>
        <v>-4456.936</v>
      </c>
      <c r="J21" s="34" t="n">
        <f aca="false">IS!J18</f>
        <v>-6084.936</v>
      </c>
      <c r="K21" s="34" t="n">
        <f aca="false">IS!K18</f>
        <v>-7798.23</v>
      </c>
      <c r="L21" s="34" t="n">
        <f aca="false">IS!L18</f>
        <v>-9058.23</v>
      </c>
    </row>
    <row r="22" customFormat="false" ht="15" hidden="false" customHeight="false" outlineLevel="0" collapsed="false">
      <c r="A22" s="11" t="s">
        <v>193</v>
      </c>
      <c r="D22" s="34" t="n">
        <f aca="false">BS!C7+BS!C8</f>
        <v>139649</v>
      </c>
      <c r="E22" s="34" t="n">
        <f aca="false">BS!D7+BS!D8</f>
        <v>113762</v>
      </c>
      <c r="F22" s="34" t="n">
        <f aca="false">BS!E7+BS!E8</f>
        <v>110916</v>
      </c>
      <c r="G22" s="34" t="n">
        <f aca="false">BS!F7+BS!F8</f>
        <v>95657</v>
      </c>
      <c r="H22" s="33" t="n">
        <f aca="false">BS!G7+BS!G8</f>
        <v>126843</v>
      </c>
      <c r="I22" s="34" t="n">
        <f aca="false">BS!H7+BS!H8</f>
        <v>136101.456081729</v>
      </c>
      <c r="J22" s="34" t="n">
        <f aca="false">BS!I7+BS!I8</f>
        <v>118328.673080373</v>
      </c>
      <c r="K22" s="34" t="n">
        <f aca="false">BS!J7+BS!J8</f>
        <v>84834.6613047847</v>
      </c>
      <c r="L22" s="34" t="n">
        <f aca="false">BS!K7+BS!K8</f>
        <v>49242.7191234021</v>
      </c>
    </row>
    <row r="23" customFormat="false" ht="15" hidden="false" customHeight="false" outlineLevel="0" collapsed="false">
      <c r="A23" s="11" t="s">
        <v>194</v>
      </c>
      <c r="H23" s="33" t="n">
        <f aca="false">IS!H17</f>
        <v>5073.72</v>
      </c>
      <c r="I23" s="34" t="n">
        <f aca="false">IS!I17</f>
        <v>5171.85533110569</v>
      </c>
      <c r="J23" s="34" t="n">
        <f aca="false">IS!J17</f>
        <v>4259.83223089344</v>
      </c>
      <c r="K23" s="34" t="n">
        <f aca="false">IS!K17</f>
        <v>2969.21314566746</v>
      </c>
      <c r="L23" s="34" t="n">
        <f aca="false">IS!L17</f>
        <v>1723.49516931907</v>
      </c>
    </row>
    <row r="24" customFormat="false" ht="15" hidden="false" customHeight="false" outlineLevel="0" collapsed="false">
      <c r="A24" s="11" t="s">
        <v>195</v>
      </c>
      <c r="C24" s="34" t="n">
        <f aca="false">BS!C7+BS!C8-C20</f>
        <v>124832</v>
      </c>
      <c r="D24" s="34" t="n">
        <f aca="false">BS!D7+BS!D8-D20</f>
        <v>99061</v>
      </c>
      <c r="E24" s="34" t="n">
        <f aca="false">BS!E7+BS!E8-E20</f>
        <v>97663</v>
      </c>
      <c r="F24" s="34" t="n">
        <f aca="false">BS!F7+BS!F8-F20</f>
        <v>84774</v>
      </c>
      <c r="G24" s="34" t="n">
        <f aca="false">BS!G7+BS!G8-G20</f>
        <v>80296</v>
      </c>
      <c r="H24" s="33" t="n">
        <f aca="false">BS!H7+BS!H8-H20</f>
        <v>34807.4560817288</v>
      </c>
      <c r="I24" s="34" t="n">
        <f aca="false">BS!I7+BS!I8-I20</f>
        <v>-19965.3269196268</v>
      </c>
      <c r="J24" s="34" t="n">
        <f aca="false">BS!J7+BS!J8-J20</f>
        <v>-88459.3386952154</v>
      </c>
      <c r="K24" s="34" t="n">
        <f aca="false">BS!K7+BS!K8-K20</f>
        <v>-152051.280876598</v>
      </c>
      <c r="L24" s="34" t="n">
        <f aca="false">BS!L7+BS!L8-L20</f>
        <v>-204173.485552601</v>
      </c>
    </row>
    <row r="26" customFormat="false" ht="15" hidden="false" customHeight="false" outlineLevel="0" collapsed="false">
      <c r="A26" s="9" t="s">
        <v>196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customFormat="false" ht="15" hidden="false" customHeight="false" outlineLevel="0" collapsed="false">
      <c r="A27" s="11" t="s">
        <v>94</v>
      </c>
      <c r="C27" s="19" t="n">
        <v>13553</v>
      </c>
      <c r="D27" s="19" t="n">
        <v>13159</v>
      </c>
      <c r="E27" s="19" t="n">
        <v>12722</v>
      </c>
      <c r="F27" s="19" t="n">
        <v>12447</v>
      </c>
      <c r="G27" s="19" t="n">
        <v>12230</v>
      </c>
      <c r="H27" s="33" t="n">
        <f aca="false">IS!H28</f>
        <v>12450.14</v>
      </c>
      <c r="I27" s="34" t="n">
        <f aca="false">IS!I28</f>
        <v>12562.19126</v>
      </c>
      <c r="J27" s="34" t="n">
        <f aca="false">IS!J28</f>
        <v>12599.87783378</v>
      </c>
      <c r="K27" s="34" t="n">
        <f aca="false">IS!K28</f>
        <v>12574.6780781124</v>
      </c>
      <c r="L27" s="34" t="n">
        <f aca="false">IS!L28</f>
        <v>12511.8046877219</v>
      </c>
    </row>
    <row r="28" customFormat="false" ht="15" hidden="false" customHeight="false" outlineLevel="0" collapsed="false">
      <c r="A28" s="11" t="s">
        <v>197</v>
      </c>
      <c r="C28" s="39" t="n">
        <f aca="false">C29/C27</f>
        <v>0</v>
      </c>
      <c r="D28" s="39" t="n">
        <f aca="false">D29/D27</f>
        <v>0</v>
      </c>
      <c r="E28" s="39" t="n">
        <f aca="false">E29/E27</f>
        <v>0</v>
      </c>
      <c r="F28" s="39" t="n">
        <f aca="false">F29/F27</f>
        <v>0.591548164216277</v>
      </c>
      <c r="G28" s="39" t="n">
        <f aca="false">G29/G27</f>
        <v>0.821668029435814</v>
      </c>
      <c r="H28" s="41" t="n">
        <f aca="false">Assumptions!H$93</f>
        <v>0.88</v>
      </c>
      <c r="I28" s="42" t="n">
        <f aca="false">Assumptions!I$93</f>
        <v>0.97</v>
      </c>
      <c r="J28" s="42" t="n">
        <f aca="false">Assumptions!J$93</f>
        <v>1.06</v>
      </c>
      <c r="K28" s="42" t="n">
        <f aca="false">Assumptions!K$93</f>
        <v>1.17</v>
      </c>
      <c r="L28" s="42" t="n">
        <f aca="false">Assumptions!L$93</f>
        <v>1.29</v>
      </c>
    </row>
    <row r="29" customFormat="false" ht="15" hidden="false" customHeight="false" outlineLevel="0" collapsed="false">
      <c r="A29" s="11" t="s">
        <v>198</v>
      </c>
      <c r="C29" s="19" t="n">
        <v>0</v>
      </c>
      <c r="D29" s="19" t="n">
        <v>0</v>
      </c>
      <c r="E29" s="19" t="n">
        <v>0</v>
      </c>
      <c r="F29" s="19" t="n">
        <v>7363</v>
      </c>
      <c r="G29" s="19" t="n">
        <v>10049</v>
      </c>
      <c r="H29" s="27" t="n">
        <f aca="false">H27*H28</f>
        <v>10956.1232</v>
      </c>
      <c r="I29" s="28" t="n">
        <f aca="false">I27*I28</f>
        <v>12185.3255222</v>
      </c>
      <c r="J29" s="28" t="n">
        <f aca="false">J27*J28</f>
        <v>13355.8705038068</v>
      </c>
      <c r="K29" s="28" t="n">
        <f aca="false">K27*K28</f>
        <v>14712.3733513915</v>
      </c>
      <c r="L29" s="28" t="n">
        <f aca="false">L27*L28</f>
        <v>16140.2280471612</v>
      </c>
    </row>
    <row r="30" customFormat="false" ht="15" hidden="false" customHeight="false" outlineLevel="0" collapsed="false">
      <c r="A30" s="11" t="s">
        <v>199</v>
      </c>
      <c r="C30" s="19" t="n">
        <v>0</v>
      </c>
      <c r="D30" s="19" t="n">
        <v>0</v>
      </c>
      <c r="E30" s="19" t="n">
        <v>0</v>
      </c>
      <c r="F30" s="19" t="n">
        <v>0</v>
      </c>
      <c r="G30" s="19" t="n">
        <v>0</v>
      </c>
      <c r="H30" s="33" t="n">
        <f aca="false">Assumptions!H$94</f>
        <v>400</v>
      </c>
      <c r="I30" s="34" t="n">
        <f aca="false">Assumptions!I$94</f>
        <v>1188</v>
      </c>
      <c r="J30" s="34" t="n">
        <f aca="false">Assumptions!J$94</f>
        <v>1188</v>
      </c>
      <c r="K30" s="34" t="n">
        <f aca="false">Assumptions!K$94</f>
        <v>1188</v>
      </c>
      <c r="L30" s="34" t="n">
        <f aca="false">Assumptions!L$94</f>
        <v>1188</v>
      </c>
    </row>
    <row r="31" customFormat="false" ht="15" hidden="false" customHeight="false" outlineLevel="0" collapsed="false">
      <c r="A31" s="11" t="s">
        <v>200</v>
      </c>
      <c r="C31" s="19" t="n">
        <v>50274</v>
      </c>
      <c r="D31" s="19" t="n">
        <v>59296</v>
      </c>
      <c r="E31" s="19" t="n">
        <v>61504</v>
      </c>
      <c r="F31" s="19" t="n">
        <v>62222</v>
      </c>
      <c r="G31" s="19" t="n">
        <v>45709</v>
      </c>
      <c r="H31" s="33" t="n">
        <f aca="false">Assumptions!H$92</f>
        <v>0</v>
      </c>
      <c r="I31" s="34" t="n">
        <f aca="false">Assumptions!I$92</f>
        <v>0</v>
      </c>
      <c r="J31" s="34" t="n">
        <f aca="false">Assumptions!J$92</f>
        <v>20000</v>
      </c>
      <c r="K31" s="34" t="n">
        <f aca="false">Assumptions!K$92</f>
        <v>40000</v>
      </c>
      <c r="L31" s="34" t="n">
        <f aca="false">Assumptions!L$92</f>
        <v>60000</v>
      </c>
    </row>
    <row r="32" customFormat="false" ht="15" hidden="false" customHeight="false" outlineLevel="0" collapsed="false">
      <c r="A32" s="11" t="s">
        <v>138</v>
      </c>
      <c r="C32" s="19" t="n">
        <v>15376</v>
      </c>
      <c r="D32" s="19" t="n">
        <v>19362</v>
      </c>
      <c r="E32" s="19" t="n">
        <v>22460</v>
      </c>
      <c r="F32" s="19" t="n">
        <v>22785</v>
      </c>
      <c r="G32" s="19" t="n">
        <v>24953</v>
      </c>
      <c r="H32" s="33" t="n">
        <f aca="false">IS!H33</f>
        <v>30220.75672</v>
      </c>
      <c r="I32" s="34" t="n">
        <f aca="false">IS!I33</f>
        <v>34217.695512</v>
      </c>
      <c r="J32" s="34" t="n">
        <f aca="false">IS!J33</f>
        <v>37707.900454224</v>
      </c>
      <c r="K32" s="34" t="n">
        <f aca="false">IS!K33</f>
        <v>40776.5433877402</v>
      </c>
      <c r="L32" s="34" t="n">
        <f aca="false">IS!L33</f>
        <v>44453.7138182417</v>
      </c>
    </row>
    <row r="33" customFormat="false" ht="15" hidden="false" customHeight="false" outlineLevel="0" collapsed="false">
      <c r="A33" s="11" t="s">
        <v>201</v>
      </c>
      <c r="C33" s="19" t="n">
        <v>10162</v>
      </c>
      <c r="D33" s="19" t="n">
        <v>9300</v>
      </c>
      <c r="E33" s="19" t="n">
        <v>9837</v>
      </c>
      <c r="F33" s="19" t="n">
        <v>12190</v>
      </c>
      <c r="G33" s="19" t="n">
        <v>14167</v>
      </c>
      <c r="H33" s="33" t="n">
        <f aca="false">Assumptions!H$91</f>
        <v>24000</v>
      </c>
      <c r="I33" s="34" t="n">
        <f aca="false">Assumptions!I$91</f>
        <v>20000</v>
      </c>
      <c r="J33" s="34" t="n">
        <f aca="false">Assumptions!J$91</f>
        <v>21000</v>
      </c>
      <c r="K33" s="34" t="n">
        <f aca="false">Assumptions!K$91</f>
        <v>22000</v>
      </c>
      <c r="L33" s="34" t="n">
        <f aca="false">Assumptions!L$91</f>
        <v>23000</v>
      </c>
    </row>
    <row r="34" customFormat="false" ht="15" hidden="false" customHeight="false" outlineLevel="0" collapsed="false">
      <c r="A34" s="11" t="s">
        <v>202</v>
      </c>
      <c r="C34" s="19" t="n">
        <v>0</v>
      </c>
      <c r="D34" s="19" t="n">
        <v>0</v>
      </c>
      <c r="E34" s="19" t="n">
        <v>0</v>
      </c>
      <c r="F34" s="19" t="n">
        <v>0</v>
      </c>
      <c r="G34" s="19" t="n">
        <v>0</v>
      </c>
      <c r="H34" s="33" t="n">
        <f aca="false">Assumptions!H$89</f>
        <v>31539</v>
      </c>
      <c r="I34" s="34" t="n">
        <f aca="false">Assumptions!I$89</f>
        <v>10000</v>
      </c>
      <c r="J34" s="34" t="n">
        <f aca="false">Assumptions!J$89</f>
        <v>10000</v>
      </c>
      <c r="K34" s="34" t="n">
        <f aca="false">Assumptions!K$89</f>
        <v>10000</v>
      </c>
      <c r="L34" s="34" t="n">
        <f aca="false">Assumptions!L$89</f>
        <v>10000</v>
      </c>
    </row>
    <row r="35" customFormat="false" ht="15" hidden="false" customHeight="false" outlineLevel="0" collapsed="false">
      <c r="A35" s="11" t="s">
        <v>203</v>
      </c>
      <c r="C35" s="19" t="n">
        <v>0</v>
      </c>
      <c r="D35" s="19" t="n">
        <v>0</v>
      </c>
      <c r="E35" s="19" t="n">
        <v>0</v>
      </c>
      <c r="F35" s="19" t="n">
        <v>0</v>
      </c>
      <c r="G35" s="19" t="n">
        <v>0</v>
      </c>
      <c r="H35" s="33" t="n">
        <f aca="false">Assumptions!H$90</f>
        <v>18023</v>
      </c>
      <c r="I35" s="34" t="n">
        <f aca="false">Assumptions!I$90</f>
        <v>0</v>
      </c>
      <c r="J35" s="34" t="n">
        <f aca="false">Assumptions!J$90</f>
        <v>0</v>
      </c>
      <c r="K35" s="34" t="n">
        <f aca="false">Assumptions!K$90</f>
        <v>0</v>
      </c>
      <c r="L35" s="34" t="n">
        <f aca="false">Assumptions!L$90</f>
        <v>0</v>
      </c>
    </row>
    <row r="37" customFormat="false" ht="15" hidden="false" customHeight="false" outlineLevel="0" collapsed="false">
      <c r="A37" s="9" t="s">
        <v>204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customFormat="false" ht="15" hidden="false" customHeight="false" outlineLevel="0" collapsed="false">
      <c r="A38" s="11" t="s">
        <v>205</v>
      </c>
      <c r="C38" s="43" t="n">
        <f aca="false">BS!C9/IS!C6*365</f>
        <v>55.6828405857854</v>
      </c>
      <c r="D38" s="43" t="n">
        <f aca="false">BS!D9/IS!D6*365</f>
        <v>51.9529692118401</v>
      </c>
      <c r="E38" s="43" t="n">
        <f aca="false">BS!E9/IS!E6*365</f>
        <v>56.9525104588899</v>
      </c>
      <c r="F38" s="43" t="n">
        <f aca="false">BS!F9/IS!F6*365</f>
        <v>54.5803358684411</v>
      </c>
      <c r="G38" s="43" t="n">
        <f aca="false">BS!G9/IS!G6*365</f>
        <v>56.979490412972</v>
      </c>
      <c r="H38" s="44" t="n">
        <f aca="false">BS!H9/IS!H6*365</f>
        <v>57</v>
      </c>
      <c r="I38" s="43" t="n">
        <f aca="false">BS!I9/IS!I6*365</f>
        <v>57</v>
      </c>
      <c r="J38" s="43" t="n">
        <f aca="false">BS!J9/IS!J6*365</f>
        <v>57</v>
      </c>
      <c r="K38" s="43" t="n">
        <f aca="false">BS!K9/IS!K6*365</f>
        <v>57</v>
      </c>
      <c r="L38" s="43" t="n">
        <f aca="false">BS!L9/IS!L6*365</f>
        <v>57</v>
      </c>
    </row>
    <row r="39" customFormat="false" ht="15" hidden="false" customHeight="false" outlineLevel="0" collapsed="false">
      <c r="A39" s="11" t="s">
        <v>206</v>
      </c>
      <c r="C39" s="43" t="n">
        <f aca="false">BS!C22/IS!C9*365</f>
        <v>19.8623117208556</v>
      </c>
      <c r="D39" s="43" t="n">
        <f aca="false">BS!D22/IS!D9*365</f>
        <v>14.8310262038145</v>
      </c>
      <c r="E39" s="43" t="n">
        <f aca="false">BS!E22/IS!E9*365</f>
        <v>20.5122926229262</v>
      </c>
      <c r="F39" s="43" t="n">
        <f aca="false">BS!F22/IS!F9*365</f>
        <v>19.9257378371359</v>
      </c>
      <c r="G39" s="43" t="n">
        <f aca="false">BS!G22/IS!G9*365</f>
        <v>27.3971759928631</v>
      </c>
      <c r="H39" s="44" t="n">
        <f aca="false">BS!H22/IS!H9*365</f>
        <v>30</v>
      </c>
      <c r="I39" s="43" t="n">
        <f aca="false">BS!I22/IS!I9*365</f>
        <v>30</v>
      </c>
      <c r="J39" s="43" t="n">
        <f aca="false">BS!J22/IS!J9*365</f>
        <v>30</v>
      </c>
      <c r="K39" s="43" t="n">
        <f aca="false">BS!K22/IS!K9*365</f>
        <v>30</v>
      </c>
      <c r="L39" s="43" t="n">
        <f aca="false">BS!L22/IS!L9*365</f>
        <v>30</v>
      </c>
    </row>
    <row r="40" customFormat="false" ht="15" hidden="false" customHeight="false" outlineLevel="0" collapsed="false">
      <c r="A40" s="11" t="s">
        <v>207</v>
      </c>
      <c r="C40" s="29" t="n">
        <f aca="false">BS!C10/IS!C9</f>
        <v>0.0105463362748898</v>
      </c>
      <c r="D40" s="29" t="n">
        <f aca="false">BS!D10/IS!D9</f>
        <v>0</v>
      </c>
      <c r="E40" s="29" t="n">
        <f aca="false">BS!E10/IS!E9</f>
        <v>0</v>
      </c>
      <c r="F40" s="29" t="n">
        <f aca="false">BS!F10/IS!F9</f>
        <v>0</v>
      </c>
      <c r="G40" s="29" t="n">
        <f aca="false">BS!G10/IS!G9</f>
        <v>0.0150059987079706</v>
      </c>
      <c r="H40" s="30" t="n">
        <f aca="false">BS!H10/IS!H9</f>
        <v>0.05</v>
      </c>
      <c r="I40" s="29" t="n">
        <f aca="false">BS!I10/IS!I9</f>
        <v>0.055</v>
      </c>
      <c r="J40" s="29" t="n">
        <f aca="false">BS!J10/IS!J9</f>
        <v>0.058</v>
      </c>
      <c r="K40" s="29" t="n">
        <f aca="false">BS!K10/IS!K9</f>
        <v>0.06</v>
      </c>
      <c r="L40" s="29" t="n">
        <f aca="false">BS!L10/IS!L9</f>
        <v>0.06</v>
      </c>
    </row>
    <row r="41" customFormat="false" ht="15" hidden="false" customHeight="false" outlineLevel="0" collapsed="false">
      <c r="A41" s="11" t="s">
        <v>208</v>
      </c>
      <c r="C41" s="28" t="n">
        <f aca="false">BS!C12-BS!C7-BS!C8-BS!C27</f>
        <v>-15760</v>
      </c>
      <c r="D41" s="28" t="n">
        <f aca="false">BS!D12-BS!D7-BS!D8-BS!D27</f>
        <v>-18267</v>
      </c>
      <c r="E41" s="28" t="n">
        <f aca="false">BS!E12-BS!E7-BS!E8-BS!E27</f>
        <v>-21200</v>
      </c>
      <c r="F41" s="28" t="n">
        <f aca="false">BS!F12-BS!F7-BS!F8-BS!F27</f>
        <v>-21068</v>
      </c>
      <c r="G41" s="28" t="n">
        <f aca="false">BS!G12-BS!G7-BS!G8-BS!G27</f>
        <v>-23550</v>
      </c>
      <c r="H41" s="27" t="n">
        <f aca="false">BS!H12-BS!H7-BS!H8-BS!H27</f>
        <v>-19214.3013373288</v>
      </c>
      <c r="I41" s="28" t="n">
        <f aca="false">BS!I12-BS!I7-BS!I8-BS!I27</f>
        <v>-21889.8391498456</v>
      </c>
      <c r="J41" s="28" t="n">
        <f aca="false">BS!J12-BS!J7-BS!J8-BS!J27</f>
        <v>-24714.6999329723</v>
      </c>
      <c r="K41" s="28" t="n">
        <f aca="false">BS!K12-BS!K7-BS!K8-BS!K27</f>
        <v>-27485.7525561175</v>
      </c>
      <c r="L41" s="28" t="n">
        <f aca="false">BS!L12-BS!L7-BS!L8-BS!L27</f>
        <v>-30800.3902301757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3"/>
    <col collapsed="false" customWidth="true" hidden="false" outlineLevel="0" max="12" min="3" style="0" width="13"/>
  </cols>
  <sheetData>
    <row r="1" customFormat="false" ht="15" hidden="false" customHeight="false" outlineLevel="0" collapsed="false">
      <c r="A1" s="1" t="s">
        <v>209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210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5" t="s">
        <v>211</v>
      </c>
      <c r="B5" s="46"/>
      <c r="C5" s="47" t="str">
        <f aca="false">IF(COUNTIF(C10:L60,"ERROR")=0,"ALL CHECKS PASS","ERRORS DETECTED - REVIEW BELOW")</f>
        <v>ALL CHECKS PASS</v>
      </c>
      <c r="D5" s="47"/>
      <c r="E5" s="47"/>
      <c r="F5" s="47"/>
      <c r="G5" s="47"/>
      <c r="H5" s="47"/>
      <c r="I5" s="47"/>
      <c r="J5" s="47"/>
      <c r="K5" s="47"/>
      <c r="L5" s="47"/>
    </row>
    <row r="8" customFormat="false" ht="15" hidden="false" customHeight="false" outlineLevel="0" collapsed="false">
      <c r="A8" s="6"/>
      <c r="B8" s="6"/>
      <c r="C8" s="7" t="s">
        <v>5</v>
      </c>
      <c r="D8" s="7" t="s">
        <v>6</v>
      </c>
      <c r="E8" s="7" t="s">
        <v>7</v>
      </c>
      <c r="F8" s="7" t="s">
        <v>8</v>
      </c>
      <c r="G8" s="7" t="s">
        <v>9</v>
      </c>
      <c r="H8" s="8" t="s">
        <v>10</v>
      </c>
      <c r="I8" s="7" t="s">
        <v>11</v>
      </c>
      <c r="J8" s="7" t="s">
        <v>12</v>
      </c>
      <c r="K8" s="7" t="s">
        <v>13</v>
      </c>
      <c r="L8" s="7" t="s">
        <v>14</v>
      </c>
    </row>
    <row r="10" customFormat="false" ht="15" hidden="false" customHeight="false" outlineLevel="0" collapsed="false">
      <c r="A10" s="11" t="s">
        <v>212</v>
      </c>
      <c r="C10" s="48" t="str">
        <f aca="false">IF(ABS(BS!C41)&lt;0.5,"OK","ERROR")</f>
        <v>OK</v>
      </c>
      <c r="D10" s="48" t="str">
        <f aca="false">IF(ABS(BS!D41)&lt;0.5,"OK","ERROR")</f>
        <v>OK</v>
      </c>
      <c r="E10" s="48" t="str">
        <f aca="false">IF(ABS(BS!E41)&lt;0.5,"OK","ERROR")</f>
        <v>OK</v>
      </c>
      <c r="F10" s="48" t="str">
        <f aca="false">IF(ABS(BS!F41)&lt;0.5,"OK","ERROR")</f>
        <v>OK</v>
      </c>
      <c r="G10" s="48" t="str">
        <f aca="false">IF(ABS(BS!G41)&lt;0.5,"OK","ERROR")</f>
        <v>OK</v>
      </c>
      <c r="H10" s="49" t="str">
        <f aca="false">IF(ABS(BS!H41)&lt;0.5,"OK","ERROR")</f>
        <v>OK</v>
      </c>
      <c r="I10" s="48" t="str">
        <f aca="false">IF(ABS(BS!I41)&lt;0.5,"OK","ERROR")</f>
        <v>OK</v>
      </c>
      <c r="J10" s="48" t="str">
        <f aca="false">IF(ABS(BS!J41)&lt;0.5,"OK","ERROR")</f>
        <v>OK</v>
      </c>
      <c r="K10" s="48" t="str">
        <f aca="false">IF(ABS(BS!K41)&lt;0.5,"OK","ERROR")</f>
        <v>OK</v>
      </c>
      <c r="L10" s="48" t="str">
        <f aca="false">IF(ABS(BS!L41)&lt;0.5,"OK","ERROR")</f>
        <v>OK</v>
      </c>
    </row>
    <row r="11" customFormat="false" ht="15" hidden="false" customHeight="false" outlineLevel="0" collapsed="false">
      <c r="A11" s="11" t="s">
        <v>213</v>
      </c>
      <c r="C11" s="48" t="str">
        <f aca="false">IF(ABS(CF!C47-BS!C7)&lt;0.5,"OK","ERROR")</f>
        <v>OK</v>
      </c>
      <c r="D11" s="48" t="str">
        <f aca="false">IF(ABS(CF!D47-BS!D7)&lt;0.5,"OK","ERROR")</f>
        <v>OK</v>
      </c>
      <c r="E11" s="48" t="str">
        <f aca="false">IF(ABS(CF!E47-BS!E7)&lt;0.5,"OK","ERROR")</f>
        <v>OK</v>
      </c>
      <c r="F11" s="48" t="str">
        <f aca="false">IF(ABS(CF!F47-BS!F7)&lt;0.5,"OK","ERROR")</f>
        <v>OK</v>
      </c>
      <c r="G11" s="48" t="str">
        <f aca="false">IF(ABS(CF!G47-BS!G7)&lt;0.5,"OK","ERROR")</f>
        <v>OK</v>
      </c>
      <c r="H11" s="49" t="str">
        <f aca="false">IF(ABS(CF!H47-BS!H7)&lt;0.5,"OK","ERROR")</f>
        <v>OK</v>
      </c>
      <c r="I11" s="48" t="str">
        <f aca="false">IF(ABS(CF!I47-BS!I7)&lt;0.5,"OK","ERROR")</f>
        <v>OK</v>
      </c>
      <c r="J11" s="48" t="str">
        <f aca="false">IF(ABS(CF!J47-BS!J7)&lt;0.5,"OK","ERROR")</f>
        <v>OK</v>
      </c>
      <c r="K11" s="48" t="str">
        <f aca="false">IF(ABS(CF!K47-BS!K7)&lt;0.5,"OK","ERROR")</f>
        <v>OK</v>
      </c>
      <c r="L11" s="48" t="str">
        <f aca="false">IF(ABS(CF!L47-BS!L7)&lt;0.5,"OK","ERROR")</f>
        <v>OK</v>
      </c>
    </row>
    <row r="12" customFormat="false" ht="15" hidden="false" customHeight="false" outlineLevel="0" collapsed="false">
      <c r="A12" s="11" t="s">
        <v>214</v>
      </c>
      <c r="C12" s="48" t="str">
        <f aca="false">IF(ABS(IS!C24-CF!C7)&lt;0.5,"OK","ERROR")</f>
        <v>OK</v>
      </c>
      <c r="D12" s="48" t="str">
        <f aca="false">IF(ABS(IS!D24-CF!D7)&lt;0.5,"OK","ERROR")</f>
        <v>OK</v>
      </c>
      <c r="E12" s="48" t="str">
        <f aca="false">IF(ABS(IS!E24-CF!E7)&lt;0.5,"OK","ERROR")</f>
        <v>OK</v>
      </c>
      <c r="F12" s="48" t="str">
        <f aca="false">IF(ABS(IS!F24-CF!F7)&lt;0.5,"OK","ERROR")</f>
        <v>OK</v>
      </c>
      <c r="G12" s="48" t="str">
        <f aca="false">IF(ABS(IS!G24-CF!G7)&lt;0.5,"OK","ERROR")</f>
        <v>OK</v>
      </c>
      <c r="H12" s="49" t="str">
        <f aca="false">IF(ABS(IS!H24-CF!H7)&lt;0.5,"OK","ERROR")</f>
        <v>OK</v>
      </c>
      <c r="I12" s="48" t="str">
        <f aca="false">IF(ABS(IS!I24-CF!I7)&lt;0.5,"OK","ERROR")</f>
        <v>OK</v>
      </c>
      <c r="J12" s="48" t="str">
        <f aca="false">IF(ABS(IS!J24-CF!J7)&lt;0.5,"OK","ERROR")</f>
        <v>OK</v>
      </c>
      <c r="K12" s="48" t="str">
        <f aca="false">IF(ABS(IS!K24-CF!K7)&lt;0.5,"OK","ERROR")</f>
        <v>OK</v>
      </c>
      <c r="L12" s="48" t="str">
        <f aca="false">IF(ABS(IS!L24-CF!L7)&lt;0.5,"OK","ERROR")</f>
        <v>OK</v>
      </c>
    </row>
    <row r="13" customFormat="false" ht="15" hidden="false" customHeight="false" outlineLevel="0" collapsed="false">
      <c r="A13" s="11" t="s">
        <v>215</v>
      </c>
      <c r="C13" s="48" t="str">
        <f aca="false">IF(ABS(IS!C13-SUM(IS!C9:C12))&lt;0.5,"OK","ERROR")</f>
        <v>OK</v>
      </c>
      <c r="D13" s="48" t="str">
        <f aca="false">IF(ABS(IS!D13-SUM(IS!D9:D12))&lt;0.5,"OK","ERROR")</f>
        <v>OK</v>
      </c>
      <c r="E13" s="48" t="str">
        <f aca="false">IF(ABS(IS!E13-SUM(IS!E9:E12))&lt;0.5,"OK","ERROR")</f>
        <v>OK</v>
      </c>
      <c r="F13" s="48" t="str">
        <f aca="false">IF(ABS(IS!F13-SUM(IS!F9:F12))&lt;0.5,"OK","ERROR")</f>
        <v>OK</v>
      </c>
      <c r="G13" s="48" t="str">
        <f aca="false">IF(ABS(IS!G13-SUM(IS!G9:G12))&lt;0.5,"OK","ERROR")</f>
        <v>OK</v>
      </c>
      <c r="H13" s="49" t="str">
        <f aca="false">IF(ABS(IS!H13-SUM(IS!H9:H12))&lt;0.5,"OK","ERROR")</f>
        <v>OK</v>
      </c>
      <c r="I13" s="48" t="str">
        <f aca="false">IF(ABS(IS!I13-SUM(IS!I9:I12))&lt;0.5,"OK","ERROR")</f>
        <v>OK</v>
      </c>
      <c r="J13" s="48" t="str">
        <f aca="false">IF(ABS(IS!J13-SUM(IS!J9:J12))&lt;0.5,"OK","ERROR")</f>
        <v>OK</v>
      </c>
      <c r="K13" s="48" t="str">
        <f aca="false">IF(ABS(IS!K13-SUM(IS!K9:K12))&lt;0.5,"OK","ERROR")</f>
        <v>OK</v>
      </c>
      <c r="L13" s="48" t="str">
        <f aca="false">IF(ABS(IS!L13-SUM(IS!L9:L12))&lt;0.5,"OK","ERROR")</f>
        <v>OK</v>
      </c>
    </row>
    <row r="14" customFormat="false" ht="15" hidden="false" customHeight="false" outlineLevel="0" collapsed="false">
      <c r="A14" s="11" t="s">
        <v>216</v>
      </c>
      <c r="C14" s="48" t="str">
        <f aca="false">IF(ABS(BS!C19-(BS!C12+SUM(BS!C13:C18)))&lt;0.5,"OK","ERROR")</f>
        <v>OK</v>
      </c>
      <c r="D14" s="48" t="str">
        <f aca="false">IF(ABS(BS!D19-(BS!D12+SUM(BS!D13:D18)))&lt;0.5,"OK","ERROR")</f>
        <v>OK</v>
      </c>
      <c r="E14" s="48" t="str">
        <f aca="false">IF(ABS(BS!E19-(BS!E12+SUM(BS!E13:E18)))&lt;0.5,"OK","ERROR")</f>
        <v>OK</v>
      </c>
      <c r="F14" s="48" t="str">
        <f aca="false">IF(ABS(BS!F19-(BS!F12+SUM(BS!F13:F18)))&lt;0.5,"OK","ERROR")</f>
        <v>OK</v>
      </c>
      <c r="G14" s="48" t="str">
        <f aca="false">IF(ABS(BS!G19-(BS!G12+SUM(BS!G13:G18)))&lt;0.5,"OK","ERROR")</f>
        <v>OK</v>
      </c>
      <c r="H14" s="49" t="str">
        <f aca="false">IF(ABS(BS!H19-(BS!H12+SUM(BS!H13:H18)))&lt;0.5,"OK","ERROR")</f>
        <v>OK</v>
      </c>
      <c r="I14" s="48" t="str">
        <f aca="false">IF(ABS(BS!I19-(BS!I12+SUM(BS!I13:I18)))&lt;0.5,"OK","ERROR")</f>
        <v>OK</v>
      </c>
      <c r="J14" s="48" t="str">
        <f aca="false">IF(ABS(BS!J19-(BS!J12+SUM(BS!J13:J18)))&lt;0.5,"OK","ERROR")</f>
        <v>OK</v>
      </c>
      <c r="K14" s="48" t="str">
        <f aca="false">IF(ABS(BS!K19-(BS!K12+SUM(BS!K13:K18)))&lt;0.5,"OK","ERROR")</f>
        <v>OK</v>
      </c>
      <c r="L14" s="48" t="str">
        <f aca="false">IF(ABS(BS!L19-(BS!L12+SUM(BS!L13:L18)))&lt;0.5,"OK","ERROR")</f>
        <v>OK</v>
      </c>
    </row>
    <row r="15" customFormat="false" ht="15" hidden="false" customHeight="false" outlineLevel="0" collapsed="false">
      <c r="A15" s="11" t="s">
        <v>217</v>
      </c>
      <c r="C15" s="48" t="str">
        <f aca="false">IF(ABS(BS!C38-SUM(BS!C34:C37))&lt;0.5,"OK","ERROR")</f>
        <v>OK</v>
      </c>
      <c r="D15" s="48" t="str">
        <f aca="false">IF(ABS(BS!D38-SUM(BS!D34:D37))&lt;0.5,"OK","ERROR")</f>
        <v>OK</v>
      </c>
      <c r="E15" s="48" t="str">
        <f aca="false">IF(ABS(BS!E38-SUM(BS!E34:E37))&lt;0.5,"OK","ERROR")</f>
        <v>OK</v>
      </c>
      <c r="F15" s="48" t="str">
        <f aca="false">IF(ABS(BS!F38-SUM(BS!F34:F37))&lt;0.5,"OK","ERROR")</f>
        <v>OK</v>
      </c>
      <c r="G15" s="48" t="str">
        <f aca="false">IF(ABS(BS!G38-SUM(BS!G34:G37))&lt;0.5,"OK","ERROR")</f>
        <v>OK</v>
      </c>
      <c r="H15" s="49" t="str">
        <f aca="false">IF(ABS(BS!H38-SUM(BS!H34:H37))&lt;0.5,"OK","ERROR")</f>
        <v>OK</v>
      </c>
      <c r="I15" s="48" t="str">
        <f aca="false">IF(ABS(BS!I38-SUM(BS!I34:I37))&lt;0.5,"OK","ERROR")</f>
        <v>OK</v>
      </c>
      <c r="J15" s="48" t="str">
        <f aca="false">IF(ABS(BS!J38-SUM(BS!J34:J37))&lt;0.5,"OK","ERROR")</f>
        <v>OK</v>
      </c>
      <c r="K15" s="48" t="str">
        <f aca="false">IF(ABS(BS!K38-SUM(BS!K34:K37))&lt;0.5,"OK","ERROR")</f>
        <v>OK</v>
      </c>
      <c r="L15" s="48" t="str">
        <f aca="false">IF(ABS(BS!L38-SUM(BS!L34:L37))&lt;0.5,"OK","ERROR")</f>
        <v>OK</v>
      </c>
    </row>
    <row r="16" customFormat="false" ht="15" hidden="false" customHeight="false" outlineLevel="0" collapsed="false">
      <c r="A16" s="11" t="s">
        <v>218</v>
      </c>
      <c r="H16" s="49" t="str">
        <f aca="false">IF(ABS(Schedules!H7-Schedules!H8+Schedules!H9-Schedules!H10)&lt;0.5,"OK","ERROR")</f>
        <v>OK</v>
      </c>
      <c r="I16" s="48" t="str">
        <f aca="false">IF(ABS(Schedules!I7-Schedules!I8+Schedules!I9-Schedules!I10)&lt;0.5,"OK","ERROR")</f>
        <v>OK</v>
      </c>
      <c r="J16" s="48" t="str">
        <f aca="false">IF(ABS(Schedules!J7-Schedules!J8+Schedules!J9-Schedules!J10)&lt;0.5,"OK","ERROR")</f>
        <v>OK</v>
      </c>
      <c r="K16" s="48" t="str">
        <f aca="false">IF(ABS(Schedules!K7-Schedules!K8+Schedules!K9-Schedules!K10)&lt;0.5,"OK","ERROR")</f>
        <v>OK</v>
      </c>
      <c r="L16" s="48" t="str">
        <f aca="false">IF(ABS(Schedules!L7-Schedules!L8+Schedules!L9-Schedules!L10)&lt;0.5,"OK","ERROR")</f>
        <v>OK</v>
      </c>
    </row>
    <row r="17" customFormat="false" ht="15" hidden="false" customHeight="false" outlineLevel="0" collapsed="false">
      <c r="A17" s="11" t="s">
        <v>219</v>
      </c>
      <c r="C17" s="48" t="str">
        <f aca="false">IF(ABS(Schedules!C20-BS!C28)&lt;0.5,"OK","ERROR")</f>
        <v>OK</v>
      </c>
      <c r="D17" s="48" t="str">
        <f aca="false">IF(ABS(Schedules!D20-BS!D28)&lt;0.5,"OK","ERROR")</f>
        <v>OK</v>
      </c>
      <c r="E17" s="48" t="str">
        <f aca="false">IF(ABS(Schedules!E20-BS!E28)&lt;0.5,"OK","ERROR")</f>
        <v>OK</v>
      </c>
      <c r="F17" s="48" t="str">
        <f aca="false">IF(ABS(Schedules!F20-BS!F28)&lt;0.5,"OK","ERROR")</f>
        <v>OK</v>
      </c>
      <c r="G17" s="48" t="str">
        <f aca="false">IF(ABS(Schedules!G20-BS!G28)&lt;0.5,"OK","ERROR")</f>
        <v>OK</v>
      </c>
      <c r="H17" s="49" t="str">
        <f aca="false">IF(ABS(Schedules!H20-BS!H28)&lt;0.5,"OK","ERROR")</f>
        <v>OK</v>
      </c>
      <c r="I17" s="48" t="str">
        <f aca="false">IF(ABS(Schedules!I20-BS!I28)&lt;0.5,"OK","ERROR")</f>
        <v>OK</v>
      </c>
      <c r="J17" s="48" t="str">
        <f aca="false">IF(ABS(Schedules!J20-BS!J28)&lt;0.5,"OK","ERROR")</f>
        <v>OK</v>
      </c>
      <c r="K17" s="48" t="str">
        <f aca="false">IF(ABS(Schedules!K20-BS!K28)&lt;0.5,"OK","ERROR")</f>
        <v>OK</v>
      </c>
      <c r="L17" s="48" t="str">
        <f aca="false">IF(ABS(Schedules!L20-BS!L28)&lt;0.5,"OK","ERROR")</f>
        <v>OK</v>
      </c>
    </row>
    <row r="18" customFormat="false" ht="15" hidden="false" customHeight="false" outlineLevel="0" collapsed="false">
      <c r="A18" s="11" t="s">
        <v>220</v>
      </c>
      <c r="C18" s="48" t="str">
        <f aca="false">IF(ABS(IS!C31-Schedules!C8)&lt;0.5,"OK","ERROR")</f>
        <v>OK</v>
      </c>
      <c r="D18" s="48" t="str">
        <f aca="false">IF(ABS(IS!D31-Schedules!D8)&lt;0.5,"OK","ERROR")</f>
        <v>OK</v>
      </c>
      <c r="E18" s="48" t="str">
        <f aca="false">IF(ABS(IS!E31-Schedules!E8)&lt;0.5,"OK","ERROR")</f>
        <v>OK</v>
      </c>
      <c r="F18" s="48" t="str">
        <f aca="false">IF(ABS(IS!F31-Schedules!F8)&lt;0.5,"OK","ERROR")</f>
        <v>OK</v>
      </c>
      <c r="G18" s="48" t="str">
        <f aca="false">IF(ABS(IS!G31-Schedules!G8)&lt;0.5,"OK","ERROR")</f>
        <v>OK</v>
      </c>
      <c r="H18" s="49" t="str">
        <f aca="false">IF(ABS(IS!H31-Schedules!H8)&lt;0.5,"OK","ERROR")</f>
        <v>OK</v>
      </c>
      <c r="I18" s="48" t="str">
        <f aca="false">IF(ABS(IS!I31-Schedules!I8)&lt;0.5,"OK","ERROR")</f>
        <v>OK</v>
      </c>
      <c r="J18" s="48" t="str">
        <f aca="false">IF(ABS(IS!J31-Schedules!J8)&lt;0.5,"OK","ERROR")</f>
        <v>OK</v>
      </c>
      <c r="K18" s="48" t="str">
        <f aca="false">IF(ABS(IS!K31-Schedules!K8)&lt;0.5,"OK","ERROR")</f>
        <v>OK</v>
      </c>
      <c r="L18" s="48" t="str">
        <f aca="false">IF(ABS(IS!L31-Schedules!L8)&lt;0.5,"OK","ERROR")</f>
        <v>OK</v>
      </c>
    </row>
    <row r="19" customFormat="false" ht="15" hidden="false" customHeight="false" outlineLevel="0" collapsed="false">
      <c r="A19" s="11" t="s">
        <v>221</v>
      </c>
      <c r="C19" s="48" t="str">
        <f aca="false">IF(ABS(CF!C9-IS!C33)&lt;0.5,"OK","ERROR")</f>
        <v>OK</v>
      </c>
      <c r="D19" s="48" t="str">
        <f aca="false">IF(ABS(CF!D9-IS!D33)&lt;0.5,"OK","ERROR")</f>
        <v>OK</v>
      </c>
      <c r="E19" s="48" t="str">
        <f aca="false">IF(ABS(CF!E9-IS!E33)&lt;0.5,"OK","ERROR")</f>
        <v>OK</v>
      </c>
      <c r="F19" s="48" t="str">
        <f aca="false">IF(ABS(CF!F9-IS!F33)&lt;0.5,"OK","ERROR")</f>
        <v>OK</v>
      </c>
      <c r="G19" s="48" t="str">
        <f aca="false">IF(ABS(CF!G9-IS!G33)&lt;0.5,"OK","ERROR")</f>
        <v>OK</v>
      </c>
      <c r="H19" s="49" t="str">
        <f aca="false">IF(ABS(CF!H9-IS!H33)&lt;0.5,"OK","ERROR")</f>
        <v>OK</v>
      </c>
      <c r="I19" s="48" t="str">
        <f aca="false">IF(ABS(CF!I9-IS!I33)&lt;0.5,"OK","ERROR")</f>
        <v>OK</v>
      </c>
      <c r="J19" s="48" t="str">
        <f aca="false">IF(ABS(CF!J9-IS!J33)&lt;0.5,"OK","ERROR")</f>
        <v>OK</v>
      </c>
      <c r="K19" s="48" t="str">
        <f aca="false">IF(ABS(CF!K9-IS!K33)&lt;0.5,"OK","ERROR")</f>
        <v>OK</v>
      </c>
      <c r="L19" s="48" t="str">
        <f aca="false">IF(ABS(CF!L9-IS!L33)&lt;0.5,"OK","ERROR")</f>
        <v>OK</v>
      </c>
    </row>
    <row r="20" customFormat="false" ht="15" hidden="false" customHeight="false" outlineLevel="0" collapsed="false">
      <c r="A20" s="11" t="s">
        <v>222</v>
      </c>
      <c r="C20" s="48" t="str">
        <f aca="false">IF(ABS(CF!C26+Schedules!C9)&lt;0.5,"OK","ERROR")</f>
        <v>OK</v>
      </c>
      <c r="D20" s="48" t="str">
        <f aca="false">IF(ABS(CF!D26+Schedules!D9)&lt;0.5,"OK","ERROR")</f>
        <v>OK</v>
      </c>
      <c r="E20" s="48" t="str">
        <f aca="false">IF(ABS(CF!E26+Schedules!E9)&lt;0.5,"OK","ERROR")</f>
        <v>OK</v>
      </c>
      <c r="F20" s="48" t="str">
        <f aca="false">IF(ABS(CF!F26+Schedules!F9)&lt;0.5,"OK","ERROR")</f>
        <v>OK</v>
      </c>
      <c r="G20" s="48" t="str">
        <f aca="false">IF(ABS(CF!G26+Schedules!G9)&lt;0.5,"OK","ERROR")</f>
        <v>OK</v>
      </c>
      <c r="H20" s="49" t="str">
        <f aca="false">IF(ABS(CF!H26+Schedules!H9)&lt;0.5,"OK","ERROR")</f>
        <v>OK</v>
      </c>
      <c r="I20" s="48" t="str">
        <f aca="false">IF(ABS(CF!I26+Schedules!I9)&lt;0.5,"OK","ERROR")</f>
        <v>OK</v>
      </c>
      <c r="J20" s="48" t="str">
        <f aca="false">IF(ABS(CF!J26+Schedules!J9)&lt;0.5,"OK","ERROR")</f>
        <v>OK</v>
      </c>
      <c r="K20" s="48" t="str">
        <f aca="false">IF(ABS(CF!K26+Schedules!K9)&lt;0.5,"OK","ERROR")</f>
        <v>OK</v>
      </c>
      <c r="L20" s="48" t="str">
        <f aca="false">IF(ABS(CF!L26+Schedules!L9)&lt;0.5,"OK","ERROR")</f>
        <v>OK</v>
      </c>
    </row>
    <row r="21" customFormat="false" ht="15" hidden="false" customHeight="false" outlineLevel="0" collapsed="false">
      <c r="A21" s="11" t="s">
        <v>223</v>
      </c>
      <c r="D21" s="48" t="str">
        <f aca="false">IF(ABS(CF!D46-CF!C47)&lt;0.5,"OK","ERROR")</f>
        <v>OK</v>
      </c>
      <c r="E21" s="48" t="str">
        <f aca="false">IF(ABS(CF!E46-CF!D47)&lt;0.5,"OK","ERROR")</f>
        <v>OK</v>
      </c>
      <c r="F21" s="48" t="str">
        <f aca="false">IF(ABS(CF!F46-CF!E47)&lt;0.5,"OK","ERROR")</f>
        <v>OK</v>
      </c>
      <c r="G21" s="48" t="str">
        <f aca="false">IF(ABS(CF!G46-CF!F47)&lt;0.5,"OK","ERROR")</f>
        <v>OK</v>
      </c>
      <c r="H21" s="49" t="str">
        <f aca="false">IF(ABS(CF!H46-CF!G47)&lt;0.5,"OK","ERROR")</f>
        <v>OK</v>
      </c>
      <c r="I21" s="48" t="str">
        <f aca="false">IF(ABS(CF!I46-CF!H47)&lt;0.5,"OK","ERROR")</f>
        <v>OK</v>
      </c>
      <c r="J21" s="48" t="str">
        <f aca="false">IF(ABS(CF!J46-CF!I47)&lt;0.5,"OK","ERROR")</f>
        <v>OK</v>
      </c>
      <c r="K21" s="48" t="str">
        <f aca="false">IF(ABS(CF!K46-CF!J47)&lt;0.5,"OK","ERROR")</f>
        <v>OK</v>
      </c>
      <c r="L21" s="48" t="str">
        <f aca="false">IF(ABS(CF!L46-CF!K47)&lt;0.5,"OK","ERROR")</f>
        <v>OK</v>
      </c>
    </row>
    <row r="22" customFormat="false" ht="15" hidden="false" customHeight="false" outlineLevel="0" collapsed="false">
      <c r="A22" s="11" t="s">
        <v>224</v>
      </c>
      <c r="H22" s="49" t="str">
        <f aca="false">IF(ABS(BS!H37-(BS!G37+IS!H24-Schedules!H29-Schedules!H30-Schedules!H31))&lt;0.5,"OK","ERROR")</f>
        <v>OK</v>
      </c>
      <c r="I22" s="48" t="str">
        <f aca="false">IF(ABS(BS!I37-(BS!H37+IS!I24-Schedules!I29-Schedules!I30-Schedules!I31))&lt;0.5,"OK","ERROR")</f>
        <v>OK</v>
      </c>
      <c r="J22" s="48" t="str">
        <f aca="false">IF(ABS(BS!J37-(BS!I37+IS!J24-Schedules!J29-Schedules!J30-Schedules!J31))&lt;0.5,"OK","ERROR")</f>
        <v>OK</v>
      </c>
      <c r="K22" s="48" t="str">
        <f aca="false">IF(ABS(BS!K37-(BS!J37+IS!K24-Schedules!K29-Schedules!K30-Schedules!K31))&lt;0.5,"OK","ERROR")</f>
        <v>OK</v>
      </c>
      <c r="L22" s="48" t="str">
        <f aca="false">IF(ABS(BS!L37-(BS!K37+IS!L24-Schedules!L29-Schedules!L30-Schedules!L31))&lt;0.5,"OK","ERROR")</f>
        <v>OK</v>
      </c>
    </row>
    <row r="23" customFormat="false" ht="15" hidden="false" customHeight="false" outlineLevel="0" collapsed="false">
      <c r="A23" s="11" t="s">
        <v>225</v>
      </c>
      <c r="H23" s="49" t="str">
        <f aca="false">IF(ABS(BS!H35-(BS!G35+Schedules!H32-Schedules!H33+Schedules!H34))&lt;0.5,"OK","ERROR")</f>
        <v>OK</v>
      </c>
      <c r="I23" s="48" t="str">
        <f aca="false">IF(ABS(BS!I35-(BS!H35+Schedules!I32-Schedules!I33+Schedules!I34))&lt;0.5,"OK","ERROR")</f>
        <v>OK</v>
      </c>
      <c r="J23" s="48" t="str">
        <f aca="false">IF(ABS(BS!J35-(BS!I35+Schedules!J32-Schedules!J33+Schedules!J34))&lt;0.5,"OK","ERROR")</f>
        <v>OK</v>
      </c>
      <c r="K23" s="48" t="str">
        <f aca="false">IF(ABS(BS!K35-(BS!J35+Schedules!K32-Schedules!K33+Schedules!K34))&lt;0.5,"OK","ERROR")</f>
        <v>OK</v>
      </c>
      <c r="L23" s="48" t="str">
        <f aca="false">IF(ABS(BS!L35-(BS!K35+Schedules!L32-Schedules!L33+Schedules!L34))&lt;0.5,"OK","ERROR")</f>
        <v>OK</v>
      </c>
    </row>
    <row r="24" customFormat="false" ht="15" hidden="false" customHeight="false" outlineLevel="0" collapsed="false">
      <c r="A24" s="11" t="s">
        <v>226</v>
      </c>
      <c r="H24" s="49" t="str">
        <f aca="false">IF(ABS(BS!H34-(BS!G34+Schedules!H35))&lt;0.5,"OK","ERROR")</f>
        <v>OK</v>
      </c>
      <c r="I24" s="48" t="str">
        <f aca="false">IF(ABS(BS!I34-(BS!H34+Schedules!I35))&lt;0.5,"OK","ERROR")</f>
        <v>OK</v>
      </c>
      <c r="J24" s="48" t="str">
        <f aca="false">IF(ABS(BS!J34-(BS!I34+Schedules!J35))&lt;0.5,"OK","ERROR")</f>
        <v>OK</v>
      </c>
      <c r="K24" s="48" t="str">
        <f aca="false">IF(ABS(BS!K34-(BS!J34+Schedules!K35))&lt;0.5,"OK","ERROR")</f>
        <v>OK</v>
      </c>
      <c r="L24" s="48" t="str">
        <f aca="false">IF(ABS(BS!L34-(BS!K34+Schedules!L35))&lt;0.5,"OK","ERROR")</f>
        <v>OK</v>
      </c>
    </row>
    <row r="26" customFormat="false" ht="15" hidden="false" customHeight="false" outlineLevel="0" collapsed="false">
      <c r="A26" s="9" t="s">
        <v>227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customFormat="false" ht="15" hidden="false" customHeight="false" outlineLevel="0" collapsed="false">
      <c r="A27" s="11" t="s">
        <v>228</v>
      </c>
      <c r="C27" s="48" t="str">
        <f aca="false">IF(SUMPRODUCT(--ISERROR(IS!C6:L33))=0,"OK","ERROR")</f>
        <v>OK</v>
      </c>
    </row>
    <row r="28" customFormat="false" ht="15" hidden="false" customHeight="false" outlineLevel="0" collapsed="false">
      <c r="A28" s="11" t="s">
        <v>229</v>
      </c>
      <c r="C28" s="48" t="str">
        <f aca="false">IF(SUMPRODUCT(--ISERROR(BS!C7:L41))=0,"OK","ERROR")</f>
        <v>OK</v>
      </c>
    </row>
    <row r="29" customFormat="false" ht="15" hidden="false" customHeight="false" outlineLevel="0" collapsed="false">
      <c r="A29" s="11" t="s">
        <v>230</v>
      </c>
      <c r="C29" s="48" t="str">
        <f aca="false">IF(SUMPRODUCT(--ISERROR(CF!C7:L50))=0,"OK","ERROR")</f>
        <v>OK</v>
      </c>
    </row>
    <row r="30" customFormat="false" ht="15" hidden="false" customHeight="false" outlineLevel="0" collapsed="false">
      <c r="A30" s="11" t="s">
        <v>231</v>
      </c>
      <c r="C30" s="48" t="str">
        <f aca="false">IF(SUMPRODUCT(--ISERROR(Schedules!C7:L41))=0,"OK","ERROR")</f>
        <v>OK</v>
      </c>
    </row>
    <row r="31" customFormat="false" ht="15" hidden="false" customHeight="false" outlineLevel="0" collapsed="false">
      <c r="A31" s="11" t="s">
        <v>232</v>
      </c>
      <c r="C31" s="48" t="str">
        <f aca="false">IF(SUMPRODUCT(--ISERROR(Assumptions!H11:L95))=0,"OK","ERROR")</f>
        <v>OK</v>
      </c>
    </row>
    <row r="33" customFormat="false" ht="15" hidden="false" customHeight="false" outlineLevel="0" collapsed="false">
      <c r="A33" s="9" t="s">
        <v>233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customFormat="false" ht="15" hidden="false" customHeight="false" outlineLevel="0" collapsed="false">
      <c r="A34" s="11" t="s">
        <v>234</v>
      </c>
      <c r="H34" s="49" t="str">
        <f aca="false">IF(AND(Assumptions!H12&gt;Assumptions!H11,Assumptions!H11&gt;Assumptions!H13),"OK","ERROR")</f>
        <v>OK</v>
      </c>
      <c r="I34" s="48" t="str">
        <f aca="false">IF(AND(Assumptions!I12&gt;Assumptions!I11,Assumptions!I11&gt;Assumptions!I13),"OK","ERROR")</f>
        <v>OK</v>
      </c>
      <c r="J34" s="48" t="str">
        <f aca="false">IF(AND(Assumptions!J12&gt;Assumptions!J11,Assumptions!J11&gt;Assumptions!J13),"OK","ERROR")</f>
        <v>OK</v>
      </c>
      <c r="K34" s="48" t="str">
        <f aca="false">IF(AND(Assumptions!K12&gt;Assumptions!K11,Assumptions!K11&gt;Assumptions!K13),"OK","ERROR")</f>
        <v>OK</v>
      </c>
      <c r="L34" s="48" t="str">
        <f aca="false">IF(AND(Assumptions!L12&gt;Assumptions!L11,Assumptions!L11&gt;Assumptions!L13),"OK","ERROR")</f>
        <v>OK</v>
      </c>
    </row>
    <row r="35" customFormat="false" ht="15" hidden="false" customHeight="false" outlineLevel="0" collapsed="false">
      <c r="A35" s="11" t="s">
        <v>235</v>
      </c>
      <c r="H35" s="49" t="str">
        <f aca="false">IF(AND(Assumptions!H18&lt;Assumptions!H17,Assumptions!H17&lt;Assumptions!H19),"OK","ERROR")</f>
        <v>OK</v>
      </c>
      <c r="I35" s="48" t="str">
        <f aca="false">IF(AND(Assumptions!I18&lt;Assumptions!I17,Assumptions!I17&lt;Assumptions!I19),"OK","ERROR")</f>
        <v>OK</v>
      </c>
      <c r="J35" s="48" t="str">
        <f aca="false">IF(AND(Assumptions!J18&lt;Assumptions!J17,Assumptions!J17&lt;Assumptions!J19),"OK","ERROR")</f>
        <v>OK</v>
      </c>
      <c r="K35" s="48" t="str">
        <f aca="false">IF(AND(Assumptions!K18&lt;Assumptions!K17,Assumptions!K17&lt;Assumptions!K19),"OK","ERROR")</f>
        <v>OK</v>
      </c>
      <c r="L35" s="48" t="str">
        <f aca="false">IF(AND(Assumptions!L18&lt;Assumptions!L17,Assumptions!L17&lt;Assumptions!L19),"OK","ERROR")</f>
        <v>OK</v>
      </c>
    </row>
    <row r="36" customFormat="false" ht="15" hidden="false" customHeight="false" outlineLevel="0" collapsed="false">
      <c r="A36" s="11" t="s">
        <v>236</v>
      </c>
      <c r="H36" s="49" t="str">
        <f aca="false">IF(AND(Assumptions!H24&lt;Assumptions!H23,Assumptions!H23&lt;Assumptions!H25),"OK","ERROR")</f>
        <v>OK</v>
      </c>
      <c r="I36" s="48" t="str">
        <f aca="false">IF(AND(Assumptions!I24&lt;Assumptions!I23,Assumptions!I23&lt;Assumptions!I25),"OK","ERROR")</f>
        <v>OK</v>
      </c>
      <c r="J36" s="48" t="str">
        <f aca="false">IF(AND(Assumptions!J24&lt;Assumptions!J23,Assumptions!J23&lt;Assumptions!J25),"OK","ERROR")</f>
        <v>OK</v>
      </c>
      <c r="K36" s="48" t="str">
        <f aca="false">IF(AND(Assumptions!K24&lt;Assumptions!K23,Assumptions!K23&lt;Assumptions!K25),"OK","ERROR")</f>
        <v>OK</v>
      </c>
      <c r="L36" s="48" t="str">
        <f aca="false">IF(AND(Assumptions!L24&lt;Assumptions!L23,Assumptions!L23&lt;Assumptions!L25),"OK","ERROR")</f>
        <v>OK</v>
      </c>
    </row>
    <row r="37" customFormat="false" ht="15" hidden="false" customHeight="false" outlineLevel="0" collapsed="false">
      <c r="A37" s="11" t="s">
        <v>237</v>
      </c>
      <c r="H37" s="49" t="str">
        <f aca="false">IF(AND(Assumptions!H30&lt;Assumptions!H29,Assumptions!H29&lt;Assumptions!H31),"OK","ERROR")</f>
        <v>OK</v>
      </c>
      <c r="I37" s="48" t="str">
        <f aca="false">IF(AND(Assumptions!I30&lt;Assumptions!I29,Assumptions!I29&lt;Assumptions!I31),"OK","ERROR")</f>
        <v>OK</v>
      </c>
      <c r="J37" s="48" t="str">
        <f aca="false">IF(AND(Assumptions!J30&lt;Assumptions!J29,Assumptions!J29&lt;Assumptions!J31),"OK","ERROR")</f>
        <v>OK</v>
      </c>
      <c r="K37" s="48" t="str">
        <f aca="false">IF(AND(Assumptions!K30&lt;Assumptions!K29,Assumptions!K29&lt;Assumptions!K31),"OK","ERROR")</f>
        <v>OK</v>
      </c>
      <c r="L37" s="48" t="str">
        <f aca="false">IF(AND(Assumptions!L30&lt;Assumptions!L29,Assumptions!L29&lt;Assumptions!L31),"OK","ERROR")</f>
        <v>OK</v>
      </c>
    </row>
    <row r="38" customFormat="false" ht="15" hidden="false" customHeight="false" outlineLevel="0" collapsed="false">
      <c r="A38" s="11" t="s">
        <v>238</v>
      </c>
      <c r="H38" s="49" t="str">
        <f aca="false">IF(AND(Assumptions!H36&lt;Assumptions!H35,Assumptions!H35&lt;Assumptions!H37),"OK","ERROR")</f>
        <v>OK</v>
      </c>
      <c r="I38" s="48" t="str">
        <f aca="false">IF(AND(Assumptions!I36&lt;Assumptions!I35,Assumptions!I35&lt;Assumptions!I37),"OK","ERROR")</f>
        <v>OK</v>
      </c>
      <c r="J38" s="48" t="str">
        <f aca="false">IF(AND(Assumptions!J36&lt;Assumptions!J35,Assumptions!J35&lt;Assumptions!J37),"OK","ERROR")</f>
        <v>OK</v>
      </c>
      <c r="K38" s="48" t="str">
        <f aca="false">IF(AND(Assumptions!K36&lt;Assumptions!K35,Assumptions!K35&lt;Assumptions!K37),"OK","ERROR")</f>
        <v>OK</v>
      </c>
      <c r="L38" s="48" t="str">
        <f aca="false">IF(AND(Assumptions!L36&lt;Assumptions!L35,Assumptions!L35&lt;Assumptions!L37),"OK","ERROR")</f>
        <v>OK</v>
      </c>
    </row>
    <row r="39" customFormat="false" ht="15" hidden="false" customHeight="false" outlineLevel="0" collapsed="false">
      <c r="A39" s="11" t="s">
        <v>239</v>
      </c>
      <c r="H39" s="49" t="str">
        <f aca="false">IF(AND(Assumptions!H42&lt;Assumptions!H41,Assumptions!H41&lt;Assumptions!H43),"OK","ERROR")</f>
        <v>OK</v>
      </c>
      <c r="I39" s="48" t="str">
        <f aca="false">IF(AND(Assumptions!I42&lt;Assumptions!I41,Assumptions!I41&lt;Assumptions!I43),"OK","ERROR")</f>
        <v>OK</v>
      </c>
      <c r="J39" s="48" t="str">
        <f aca="false">IF(AND(Assumptions!J42&lt;Assumptions!J41,Assumptions!J41&lt;Assumptions!J43),"OK","ERROR")</f>
        <v>OK</v>
      </c>
      <c r="K39" s="48" t="str">
        <f aca="false">IF(AND(Assumptions!K42&lt;Assumptions!K41,Assumptions!K41&lt;Assumptions!K43),"OK","ERROR")</f>
        <v>OK</v>
      </c>
      <c r="L39" s="48" t="str">
        <f aca="false">IF(AND(Assumptions!L42&lt;Assumptions!L41,Assumptions!L41&lt;Assumptions!L43),"OK","ERROR")</f>
        <v>OK</v>
      </c>
    </row>
    <row r="40" customFormat="false" ht="15" hidden="false" customHeight="false" outlineLevel="0" collapsed="false">
      <c r="A40" s="11" t="s">
        <v>240</v>
      </c>
      <c r="H40" s="49" t="str">
        <f aca="false">IF(AND(Assumptions!H54&lt;Assumptions!H53,Assumptions!H53&lt;Assumptions!H55),"OK","ERROR")</f>
        <v>OK</v>
      </c>
      <c r="I40" s="48" t="str">
        <f aca="false">IF(AND(Assumptions!I54&lt;Assumptions!I53,Assumptions!I53&lt;Assumptions!I55),"OK","ERROR")</f>
        <v>OK</v>
      </c>
      <c r="J40" s="48" t="str">
        <f aca="false">IF(AND(Assumptions!J54&lt;Assumptions!J53,Assumptions!J53&lt;Assumptions!J55),"OK","ERROR")</f>
        <v>OK</v>
      </c>
      <c r="K40" s="48" t="str">
        <f aca="false">IF(AND(Assumptions!K54&lt;Assumptions!K53,Assumptions!K53&lt;Assumptions!K55),"OK","ERROR")</f>
        <v>OK</v>
      </c>
      <c r="L40" s="48" t="str">
        <f aca="false">IF(AND(Assumptions!L54&lt;Assumptions!L53,Assumptions!L53&lt;Assumptions!L55),"OK","ERROR")</f>
        <v>OK</v>
      </c>
    </row>
    <row r="42" customFormat="false" ht="15" hidden="false" customHeight="false" outlineLevel="0" collapsed="false">
      <c r="A42" s="9" t="s">
        <v>241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customFormat="false" ht="15" hidden="false" customHeight="false" outlineLevel="0" collapsed="false">
      <c r="A43" s="11" t="s">
        <v>242</v>
      </c>
      <c r="C43" s="34" t="n">
        <f aca="false">IS!C6</f>
        <v>257637</v>
      </c>
      <c r="D43" s="34" t="n">
        <f aca="false">IS!D6</f>
        <v>282836</v>
      </c>
      <c r="E43" s="34" t="n">
        <f aca="false">IS!E6</f>
        <v>307394</v>
      </c>
      <c r="F43" s="34" t="n">
        <f aca="false">IS!F6</f>
        <v>350018</v>
      </c>
      <c r="G43" s="34" t="n">
        <f aca="false">IS!G6</f>
        <v>402836</v>
      </c>
      <c r="H43" s="33" t="n">
        <f aca="false">IS!H6</f>
        <v>487431.56</v>
      </c>
      <c r="I43" s="34" t="n">
        <f aca="false">IS!I6</f>
        <v>570294.9252</v>
      </c>
      <c r="J43" s="34" t="n">
        <f aca="false">IS!J6</f>
        <v>650136.214728</v>
      </c>
      <c r="K43" s="34" t="n">
        <f aca="false">IS!K6</f>
        <v>728152.56049536</v>
      </c>
      <c r="L43" s="34" t="n">
        <f aca="false">IS!L6</f>
        <v>808249.34214985</v>
      </c>
    </row>
    <row r="44" customFormat="false" ht="15" hidden="false" customHeight="false" outlineLevel="0" collapsed="false">
      <c r="A44" s="11" t="s">
        <v>243</v>
      </c>
      <c r="C44" s="50" t="n">
        <f aca="false">IS!C7</f>
        <v>0</v>
      </c>
      <c r="D44" s="50" t="n">
        <f aca="false">IS!D7</f>
        <v>0.0978081564371578</v>
      </c>
      <c r="E44" s="50" t="n">
        <f aca="false">IS!E7</f>
        <v>0.0868277022726951</v>
      </c>
      <c r="F44" s="50" t="n">
        <f aca="false">IS!F7</f>
        <v>0.138662433229016</v>
      </c>
      <c r="G44" s="50" t="n">
        <f aca="false">IS!G7</f>
        <v>0.150900810815444</v>
      </c>
      <c r="H44" s="51" t="n">
        <f aca="false">IS!H7</f>
        <v>0.21</v>
      </c>
      <c r="I44" s="50" t="n">
        <f aca="false">IS!I7</f>
        <v>0.17</v>
      </c>
      <c r="J44" s="50" t="n">
        <f aca="false">IS!J7</f>
        <v>0.14</v>
      </c>
      <c r="K44" s="50" t="n">
        <f aca="false">IS!K7</f>
        <v>0.12</v>
      </c>
      <c r="L44" s="50" t="n">
        <f aca="false">IS!L7</f>
        <v>0.11</v>
      </c>
    </row>
    <row r="45" customFormat="false" ht="15" hidden="false" customHeight="false" outlineLevel="0" collapsed="false">
      <c r="A45" s="11" t="s">
        <v>82</v>
      </c>
      <c r="C45" s="34" t="n">
        <f aca="false">IS!C14</f>
        <v>78714</v>
      </c>
      <c r="D45" s="34" t="n">
        <f aca="false">IS!D14</f>
        <v>74842</v>
      </c>
      <c r="E45" s="34" t="n">
        <f aca="false">IS!E14</f>
        <v>84293</v>
      </c>
      <c r="F45" s="34" t="n">
        <f aca="false">IS!F14</f>
        <v>112390</v>
      </c>
      <c r="G45" s="34" t="n">
        <f aca="false">IS!G14</f>
        <v>129039</v>
      </c>
      <c r="H45" s="33" t="n">
        <f aca="false">IS!H14</f>
        <v>164864.74024</v>
      </c>
      <c r="I45" s="34" t="n">
        <f aca="false">IS!I14</f>
        <v>172210.3057572</v>
      </c>
      <c r="J45" s="34" t="n">
        <f aca="false">IS!J14</f>
        <v>169417.515879348</v>
      </c>
      <c r="K45" s="34" t="n">
        <f aca="false">IS!K14</f>
        <v>166321.344859359</v>
      </c>
      <c r="L45" s="34" t="n">
        <f aca="false">IS!L14</f>
        <v>171318.29894604</v>
      </c>
    </row>
    <row r="46" customFormat="false" ht="15" hidden="false" customHeight="false" outlineLevel="0" collapsed="false">
      <c r="A46" s="11" t="s">
        <v>244</v>
      </c>
      <c r="C46" s="50" t="n">
        <f aca="false">IS!C15</f>
        <v>0.305522886852432</v>
      </c>
      <c r="D46" s="50" t="n">
        <f aca="false">IS!D15</f>
        <v>0.26461270842467</v>
      </c>
      <c r="E46" s="50" t="n">
        <f aca="false">IS!E15</f>
        <v>0.274218104452266</v>
      </c>
      <c r="F46" s="50" t="n">
        <f aca="false">IS!F15</f>
        <v>0.321097772114577</v>
      </c>
      <c r="G46" s="50" t="n">
        <f aca="false">IS!G15</f>
        <v>0.3203263859238</v>
      </c>
      <c r="H46" s="51" t="n">
        <f aca="false">IS!H15</f>
        <v>0.338231566786525</v>
      </c>
      <c r="I46" s="50" t="n">
        <f aca="false">IS!I15</f>
        <v>0.301967101840871</v>
      </c>
      <c r="J46" s="50" t="n">
        <f aca="false">IS!J15</f>
        <v>0.26058772306697</v>
      </c>
      <c r="K46" s="50" t="n">
        <f aca="false">IS!K15</f>
        <v>0.228415518783881</v>
      </c>
      <c r="L46" s="50" t="n">
        <f aca="false">IS!L15</f>
        <v>0.211962187918833</v>
      </c>
    </row>
    <row r="47" customFormat="false" ht="15" hidden="false" customHeight="false" outlineLevel="0" collapsed="false">
      <c r="A47" s="11" t="s">
        <v>245</v>
      </c>
      <c r="C47" s="34" t="n">
        <f aca="false">IS!C32</f>
        <v>88987</v>
      </c>
      <c r="D47" s="34" t="n">
        <f aca="false">IS!D32</f>
        <v>88317</v>
      </c>
      <c r="E47" s="34" t="n">
        <f aca="false">IS!E32</f>
        <v>96239</v>
      </c>
      <c r="F47" s="34" t="n">
        <f aca="false">IS!F32</f>
        <v>127701</v>
      </c>
      <c r="G47" s="34" t="n">
        <f aca="false">IS!G32</f>
        <v>150175</v>
      </c>
      <c r="H47" s="33" t="n">
        <f aca="false">IS!H32</f>
        <v>196922.35024</v>
      </c>
      <c r="I47" s="34" t="n">
        <f aca="false">IS!I32</f>
        <v>234391.2142572</v>
      </c>
      <c r="J47" s="34" t="n">
        <f aca="false">IS!J32</f>
        <v>270456.665326848</v>
      </c>
      <c r="K47" s="34" t="n">
        <f aca="false">IS!K32</f>
        <v>306552.227968547</v>
      </c>
      <c r="L47" s="34" t="n">
        <f aca="false">IS!L32</f>
        <v>344314.219755836</v>
      </c>
    </row>
    <row r="48" customFormat="false" ht="15" hidden="false" customHeight="false" outlineLevel="0" collapsed="false">
      <c r="A48" s="11" t="s">
        <v>91</v>
      </c>
      <c r="C48" s="34" t="n">
        <f aca="false">IS!C24</f>
        <v>76033</v>
      </c>
      <c r="D48" s="34" t="n">
        <f aca="false">IS!D24</f>
        <v>59972</v>
      </c>
      <c r="E48" s="34" t="n">
        <f aca="false">IS!E24</f>
        <v>73795</v>
      </c>
      <c r="F48" s="34" t="n">
        <f aca="false">IS!F24</f>
        <v>100118</v>
      </c>
      <c r="G48" s="34" t="n">
        <f aca="false">IS!G24</f>
        <v>132170</v>
      </c>
      <c r="H48" s="33" t="n">
        <f aca="false">IS!H24</f>
        <v>136028.9207844</v>
      </c>
      <c r="I48" s="34" t="n">
        <f aca="false">IS!I24</f>
        <v>140069.432321528</v>
      </c>
      <c r="J48" s="34" t="n">
        <f aca="false">IS!J24</f>
        <v>135749.853809296</v>
      </c>
      <c r="K48" s="34" t="n">
        <f aca="false">IS!K24</f>
        <v>130808.785684072</v>
      </c>
      <c r="L48" s="34" t="n">
        <f aca="false">IS!L24</f>
        <v>132826.686933441</v>
      </c>
    </row>
    <row r="49" customFormat="false" ht="15" hidden="false" customHeight="false" outlineLevel="0" collapsed="false">
      <c r="A49" s="11" t="s">
        <v>246</v>
      </c>
      <c r="C49" s="42" t="n">
        <f aca="false">IS!C29</f>
        <v>5.61004943554933</v>
      </c>
      <c r="D49" s="42" t="n">
        <f aca="false">IS!D29</f>
        <v>4.55748917090964</v>
      </c>
      <c r="E49" s="42" t="n">
        <f aca="false">IS!E29</f>
        <v>5.80058166954881</v>
      </c>
      <c r="F49" s="42" t="n">
        <f aca="false">IS!F29</f>
        <v>8.04354462922793</v>
      </c>
      <c r="G49" s="42" t="n">
        <f aca="false">IS!G29</f>
        <v>10.807031888798</v>
      </c>
      <c r="H49" s="41" t="n">
        <f aca="false">IS!H29</f>
        <v>10.8937667194425</v>
      </c>
      <c r="I49" s="42" t="n">
        <f aca="false">IS!I29</f>
        <v>11.0555100974898</v>
      </c>
      <c r="J49" s="42" t="n">
        <f aca="false">IS!J29</f>
        <v>10.6796157537765</v>
      </c>
      <c r="K49" s="42" t="n">
        <f aca="false">IS!K29</f>
        <v>10.3080798473633</v>
      </c>
      <c r="L49" s="42" t="n">
        <f aca="false">IS!L29</f>
        <v>10.5211590349249</v>
      </c>
    </row>
    <row r="50" customFormat="false" ht="15" hidden="false" customHeight="false" outlineLevel="0" collapsed="false">
      <c r="A50" s="11" t="s">
        <v>247</v>
      </c>
      <c r="C50" s="34" t="n">
        <f aca="false">CF!C23</f>
        <v>91652</v>
      </c>
      <c r="D50" s="34" t="n">
        <f aca="false">CF!D23</f>
        <v>91495</v>
      </c>
      <c r="E50" s="34" t="n">
        <f aca="false">CF!E23</f>
        <v>101746</v>
      </c>
      <c r="F50" s="34" t="n">
        <f aca="false">CF!F23</f>
        <v>125299</v>
      </c>
      <c r="G50" s="34" t="n">
        <f aca="false">CF!G23</f>
        <v>164713</v>
      </c>
      <c r="H50" s="33" t="n">
        <f aca="false">CF!H23</f>
        <v>196053.579281729</v>
      </c>
      <c r="I50" s="34" t="n">
        <f aca="false">CF!I23</f>
        <v>235600.542520844</v>
      </c>
      <c r="J50" s="34" t="n">
        <f aca="false">CF!J23</f>
        <v>274049.858728218</v>
      </c>
      <c r="K50" s="34" t="n">
        <f aca="false">CF!K23</f>
        <v>311308.431170009</v>
      </c>
      <c r="L50" s="34" t="n">
        <f aca="false">CF!L23</f>
        <v>350206.023371158</v>
      </c>
    </row>
    <row r="51" customFormat="false" ht="15" hidden="false" customHeight="false" outlineLevel="0" collapsed="false">
      <c r="A51" s="11" t="s">
        <v>181</v>
      </c>
      <c r="C51" s="34" t="n">
        <f aca="false">-Schedules!C9</f>
        <v>-24640</v>
      </c>
      <c r="D51" s="34" t="n">
        <f aca="false">-Schedules!D9</f>
        <v>-31485</v>
      </c>
      <c r="E51" s="34" t="n">
        <f aca="false">-Schedules!E9</f>
        <v>-32251</v>
      </c>
      <c r="F51" s="34" t="n">
        <f aca="false">-Schedules!F9</f>
        <v>-52535</v>
      </c>
      <c r="G51" s="34" t="n">
        <f aca="false">-Schedules!G9</f>
        <v>-91447</v>
      </c>
      <c r="H51" s="33" t="n">
        <f aca="false">-Schedules!H9</f>
        <v>-200000</v>
      </c>
      <c r="I51" s="34" t="n">
        <f aca="false">-Schedules!I9</f>
        <v>-260000</v>
      </c>
      <c r="J51" s="34" t="n">
        <f aca="false">-Schedules!J9</f>
        <v>-290000</v>
      </c>
      <c r="K51" s="34" t="n">
        <f aca="false">-Schedules!K9</f>
        <v>-300000</v>
      </c>
      <c r="L51" s="34" t="n">
        <f aca="false">-Schedules!L9</f>
        <v>-305000</v>
      </c>
    </row>
    <row r="52" customFormat="false" ht="15" hidden="false" customHeight="false" outlineLevel="0" collapsed="false">
      <c r="A52" s="11" t="s">
        <v>248</v>
      </c>
      <c r="C52" s="34" t="n">
        <f aca="false">CF!C49</f>
        <v>67012</v>
      </c>
      <c r="D52" s="34" t="n">
        <f aca="false">CF!D49</f>
        <v>60010</v>
      </c>
      <c r="E52" s="34" t="n">
        <f aca="false">CF!E49</f>
        <v>69495</v>
      </c>
      <c r="F52" s="34" t="n">
        <f aca="false">CF!F49</f>
        <v>72764</v>
      </c>
      <c r="G52" s="34" t="n">
        <f aca="false">CF!G49</f>
        <v>73266</v>
      </c>
      <c r="H52" s="33" t="n">
        <f aca="false">CF!H49</f>
        <v>-3946.4207182712</v>
      </c>
      <c r="I52" s="34" t="n">
        <f aca="false">CF!I49</f>
        <v>-24399.4574791556</v>
      </c>
      <c r="J52" s="34" t="n">
        <f aca="false">CF!J49</f>
        <v>-15950.1412717818</v>
      </c>
      <c r="K52" s="34" t="n">
        <f aca="false">CF!K49</f>
        <v>11308.431170009</v>
      </c>
      <c r="L52" s="34" t="n">
        <f aca="false">CF!L49</f>
        <v>45206.0233711579</v>
      </c>
    </row>
    <row r="53" customFormat="false" ht="15" hidden="false" customHeight="false" outlineLevel="0" collapsed="false">
      <c r="A53" s="11" t="s">
        <v>249</v>
      </c>
      <c r="C53" s="50" t="n">
        <f aca="false">CF!C50</f>
        <v>0.260102392125355</v>
      </c>
      <c r="D53" s="50" t="n">
        <f aca="false">CF!D50</f>
        <v>0.212172425009546</v>
      </c>
      <c r="E53" s="50" t="n">
        <f aca="false">CF!E50</f>
        <v>0.226077932555613</v>
      </c>
      <c r="F53" s="50" t="n">
        <f aca="false">CF!F50</f>
        <v>0.20788645155392</v>
      </c>
      <c r="G53" s="50" t="n">
        <f aca="false">CF!G50</f>
        <v>0.181875502685957</v>
      </c>
      <c r="H53" s="51" t="n">
        <f aca="false">CF!H50</f>
        <v>-0.00809635863190967</v>
      </c>
      <c r="I53" s="50" t="n">
        <f aca="false">CF!I50</f>
        <v>-0.0427839288077109</v>
      </c>
      <c r="J53" s="50" t="n">
        <f aca="false">CF!J50</f>
        <v>-0.0245335376040464</v>
      </c>
      <c r="K53" s="50" t="n">
        <f aca="false">CF!K50</f>
        <v>0.0155303047514052</v>
      </c>
      <c r="L53" s="50" t="n">
        <f aca="false">CF!L50</f>
        <v>0.0559307889455438</v>
      </c>
    </row>
    <row r="54" customFormat="false" ht="15" hidden="false" customHeight="false" outlineLevel="0" collapsed="false">
      <c r="A54" s="11" t="s">
        <v>180</v>
      </c>
      <c r="C54" s="34" t="n">
        <f aca="false">IS!C31</f>
        <v>10273</v>
      </c>
      <c r="D54" s="34" t="n">
        <f aca="false">IS!D31</f>
        <v>13475</v>
      </c>
      <c r="E54" s="34" t="n">
        <f aca="false">IS!E31</f>
        <v>11946</v>
      </c>
      <c r="F54" s="34" t="n">
        <f aca="false">IS!F31</f>
        <v>15311</v>
      </c>
      <c r="G54" s="34" t="n">
        <f aca="false">IS!G31</f>
        <v>21136</v>
      </c>
      <c r="H54" s="33" t="n">
        <f aca="false">IS!H31</f>
        <v>32057.61</v>
      </c>
      <c r="I54" s="34" t="n">
        <f aca="false">IS!I31</f>
        <v>62180.9085</v>
      </c>
      <c r="J54" s="34" t="n">
        <f aca="false">IS!J31</f>
        <v>101039.1494475</v>
      </c>
      <c r="K54" s="34" t="n">
        <f aca="false">IS!K31</f>
        <v>140230.883109187</v>
      </c>
      <c r="L54" s="34" t="n">
        <f aca="false">IS!L31</f>
        <v>172995.920809796</v>
      </c>
    </row>
    <row r="55" customFormat="false" ht="15" hidden="false" customHeight="false" outlineLevel="0" collapsed="false">
      <c r="A55" s="11" t="s">
        <v>250</v>
      </c>
      <c r="C55" s="50" t="n">
        <f aca="false">Schedules!C12</f>
        <v>0.0398739311511933</v>
      </c>
      <c r="D55" s="50" t="n">
        <f aca="false">Schedules!D12</f>
        <v>0.0476424500417203</v>
      </c>
      <c r="E55" s="50" t="n">
        <f aca="false">Schedules!E12</f>
        <v>0.0388621768804856</v>
      </c>
      <c r="F55" s="50" t="n">
        <f aca="false">Schedules!F12</f>
        <v>0.0437434646218194</v>
      </c>
      <c r="G55" s="50" t="n">
        <f aca="false">Schedules!G12</f>
        <v>0.0524680018667646</v>
      </c>
      <c r="H55" s="51" t="n">
        <f aca="false">Schedules!H12</f>
        <v>0.0657684332134751</v>
      </c>
      <c r="I55" s="50" t="n">
        <f aca="false">Schedules!I12</f>
        <v>0.10903289815913</v>
      </c>
      <c r="J55" s="50" t="n">
        <f aca="false">Schedules!J12</f>
        <v>0.15541227693303</v>
      </c>
      <c r="K55" s="50" t="n">
        <f aca="false">Schedules!K12</f>
        <v>0.192584481216119</v>
      </c>
      <c r="L55" s="50" t="n">
        <f aca="false">Schedules!L12</f>
        <v>0.214037812081167</v>
      </c>
    </row>
    <row r="56" customFormat="false" ht="15" hidden="false" customHeight="false" outlineLevel="0" collapsed="false">
      <c r="A56" s="11" t="s">
        <v>251</v>
      </c>
      <c r="C56" s="34" t="n">
        <f aca="false">BS!C15</f>
        <v>97599</v>
      </c>
      <c r="D56" s="34" t="n">
        <f aca="false">BS!D15</f>
        <v>112668</v>
      </c>
      <c r="E56" s="34" t="n">
        <f aca="false">BS!E15</f>
        <v>134345</v>
      </c>
      <c r="F56" s="34" t="n">
        <f aca="false">BS!F15</f>
        <v>171036</v>
      </c>
      <c r="G56" s="34" t="n">
        <f aca="false">BS!G15</f>
        <v>246597</v>
      </c>
      <c r="H56" s="33" t="n">
        <f aca="false">BS!H15</f>
        <v>414539.39</v>
      </c>
      <c r="I56" s="34" t="n">
        <f aca="false">BS!I15</f>
        <v>612358.4815</v>
      </c>
      <c r="J56" s="34" t="n">
        <f aca="false">BS!J15</f>
        <v>801319.3320525</v>
      </c>
      <c r="K56" s="34" t="n">
        <f aca="false">BS!K15</f>
        <v>961088.448943313</v>
      </c>
      <c r="L56" s="34" t="n">
        <f aca="false">BS!L15</f>
        <v>1093092.52813352</v>
      </c>
    </row>
    <row r="57" customFormat="false" ht="15" hidden="false" customHeight="false" outlineLevel="0" collapsed="false">
      <c r="A57" s="11" t="s">
        <v>122</v>
      </c>
      <c r="C57" s="34" t="n">
        <f aca="false">BS!C28</f>
        <v>14817</v>
      </c>
      <c r="D57" s="34" t="n">
        <f aca="false">BS!D28</f>
        <v>14701</v>
      </c>
      <c r="E57" s="34" t="n">
        <f aca="false">BS!E28</f>
        <v>13253</v>
      </c>
      <c r="F57" s="34" t="n">
        <f aca="false">BS!F28</f>
        <v>10883</v>
      </c>
      <c r="G57" s="34" t="n">
        <f aca="false">BS!G28</f>
        <v>46547</v>
      </c>
      <c r="H57" s="33" t="n">
        <f aca="false">BS!H28</f>
        <v>101294</v>
      </c>
      <c r="I57" s="34" t="n">
        <f aca="false">BS!I28</f>
        <v>138294</v>
      </c>
      <c r="J57" s="34" t="n">
        <f aca="false">BS!J28</f>
        <v>173294</v>
      </c>
      <c r="K57" s="34" t="n">
        <f aca="false">BS!K28</f>
        <v>201294</v>
      </c>
      <c r="L57" s="34" t="n">
        <f aca="false">BS!L28</f>
        <v>226294</v>
      </c>
    </row>
    <row r="58" customFormat="false" ht="15" hidden="false" customHeight="false" outlineLevel="0" collapsed="false">
      <c r="A58" s="11" t="s">
        <v>252</v>
      </c>
      <c r="C58" s="34" t="n">
        <f aca="false">Schedules!C24</f>
        <v>124832</v>
      </c>
      <c r="D58" s="34" t="n">
        <f aca="false">Schedules!D24</f>
        <v>99061</v>
      </c>
      <c r="E58" s="34" t="n">
        <f aca="false">Schedules!E24</f>
        <v>97663</v>
      </c>
      <c r="F58" s="34" t="n">
        <f aca="false">Schedules!F24</f>
        <v>84774</v>
      </c>
      <c r="G58" s="34" t="n">
        <f aca="false">Schedules!G24</f>
        <v>80296</v>
      </c>
      <c r="H58" s="33" t="n">
        <f aca="false">Schedules!H24</f>
        <v>34807.4560817288</v>
      </c>
      <c r="I58" s="34" t="n">
        <f aca="false">Schedules!I24</f>
        <v>-19965.3269196268</v>
      </c>
      <c r="J58" s="34" t="n">
        <f aca="false">Schedules!J24</f>
        <v>-88459.3386952154</v>
      </c>
      <c r="K58" s="34" t="n">
        <f aca="false">Schedules!K24</f>
        <v>-152051.280876598</v>
      </c>
      <c r="L58" s="34" t="n">
        <f aca="false">Schedules!L24</f>
        <v>-204173.485552601</v>
      </c>
    </row>
    <row r="59" customFormat="false" ht="15" hidden="false" customHeight="false" outlineLevel="0" collapsed="false">
      <c r="A59" s="11" t="s">
        <v>131</v>
      </c>
      <c r="C59" s="34" t="n">
        <f aca="false">BS!C38</f>
        <v>251635</v>
      </c>
      <c r="D59" s="34" t="n">
        <f aca="false">BS!D38</f>
        <v>256144</v>
      </c>
      <c r="E59" s="34" t="n">
        <f aca="false">BS!E38</f>
        <v>283379</v>
      </c>
      <c r="F59" s="34" t="n">
        <f aca="false">BS!F38</f>
        <v>325084</v>
      </c>
      <c r="G59" s="34" t="n">
        <f aca="false">BS!G38</f>
        <v>415265</v>
      </c>
      <c r="H59" s="33" t="n">
        <f aca="false">BS!H38</f>
        <v>595720.5543044</v>
      </c>
      <c r="I59" s="34" t="n">
        <f aca="false">BS!I38</f>
        <v>746634.356615728</v>
      </c>
      <c r="J59" s="34" t="n">
        <f aca="false">BS!J38</f>
        <v>874548.240375441</v>
      </c>
      <c r="K59" s="34" t="n">
        <f aca="false">BS!K38</f>
        <v>978233.196095861</v>
      </c>
      <c r="L59" s="34" t="n">
        <f aca="false">BS!L38</f>
        <v>1065185.36880038</v>
      </c>
    </row>
  </sheetData>
  <mergeCells count="2">
    <mergeCell ref="A1:L1"/>
    <mergeCell ref="C5:L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2026-09-08T06:08:06Z</dcterms:created>
  <dc:creator>openpyxl</dc:creator>
  <dc:description/>
  <dc:language>en-US</dc:language>
  <cp:lastModifiedBy/>
  <dcterms:modified xsi:type="dcterms:W3CDTF">2026-09-08T06:08:06Z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