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CF" sheetId="1" state="visible" r:id="rId3"/>
    <sheet name="WACC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Source: Model control. 1=Bear, 2=Base, 3=Bull. Drives every LIVE assumption row via CHOOSE().</t>
        </r>
      </text>
    </comment>
    <comment ref="B10" authorId="0">
      <text>
        <r>
          <rPr>
            <sz val="10"/>
            <rFont val="Arial"/>
            <family val="2"/>
          </rPr>
          <t xml:space="preserve">Source: stockanalysis.com / Yahoo Finance, close 4-Sep-2026. Alphabet Class C (GOOG) $335.31.</t>
        </r>
      </text>
    </comment>
    <comment ref="B11" authorId="0">
      <text>
        <r>
          <rPr>
            <sz val="10"/>
            <rFont val="Arial"/>
            <family val="2"/>
          </rPr>
          <t xml:space="preserve">Source: GOOG_3_Statement_Model.xlsx FY2026E diluted weighted-average share count (12,450m). Q2 2026 actual shares outstanding were 12,230m (Q2 2026 10-Q); the FY2026E figure includes dilution from the mandatory convertible preferred and SBC settlement.</t>
        </r>
      </text>
    </comment>
    <comment ref="B13" authorId="0">
      <text>
        <r>
          <rPr>
            <sz val="10"/>
            <rFont val="Arial"/>
            <family val="2"/>
          </rPr>
          <t xml:space="preserve">Source: Alphabet FY2026 Q2 10-Q, condensed consolidated balance sheets, 31-Dec-2025 column: total cash, cash equivalents and marketable securities $126,843m. (30-Jun-2026 figure was $242,474m — not used, since the DCF discounts full-year FY2026E FCF from 1-Jan-2026.)</t>
        </r>
      </text>
    </comment>
    <comment ref="B14" authorId="0">
      <text>
        <r>
          <rPr>
            <sz val="10"/>
            <rFont val="Arial"/>
            <family val="2"/>
          </rPr>
          <t xml:space="preserve">Source: Alphabet FY2026 Q2 10-Q balance sheet, 31-Dec-2025 column: long-term debt $46,547m. Alphabet reports no separate short-term debt line.</t>
        </r>
      </text>
    </comment>
    <comment ref="B17" authorId="0">
      <text>
        <r>
          <rPr>
            <sz val="10"/>
            <rFont val="Arial"/>
            <family val="2"/>
          </rPr>
          <t xml:space="preserve">Steady-state reinvestment convention: terminal capex = terminal D&amp;A x this multiple. 1.15x sustains ~3% nominal growth on a maintained asset base. FY2035E capex/D&amp;A in the explicit period is 1.24x (Base), so this is a modest further normalisation.</t>
        </r>
      </text>
    </comment>
    <comment ref="B18" authorId="0">
      <text>
        <r>
          <rPr>
            <sz val="10"/>
            <rFont val="Arial"/>
            <family val="2"/>
          </rPr>
          <t xml:space="preserve">Derived from GOOG_3_Statement_Model.xlsx Schedules!Net working capital: NWC moves from -$23,550m (FY2025A) to -$30,800m (FY2030E) on $405,413m of revenue growth = -1.79%. Negative = working capital is a source of cash (deferred revenue and payables fund receivables).</t>
        </r>
      </text>
    </comment>
    <comment ref="B19" authorId="0">
      <text>
        <r>
          <rPr>
            <sz val="10"/>
            <rFont val="Arial"/>
            <family val="2"/>
          </rPr>
          <t xml:space="preserve">250 of 365 days from 1-Jan-2026 to 8-Sep-2026 = 0.685 years. Used to compound the 1-Jan-2026 intrinsic value forward at WACC so it is comparable to today's share price.</t>
        </r>
      </text>
    </comment>
    <comment ref="B74" authorId="0">
      <text>
        <r>
          <rPr>
            <sz val="10"/>
            <rFont val="Arial"/>
            <family val="2"/>
          </rPr>
          <t xml:space="preserve">Revenues | FY2021A
Source: Alphabet Inc. Form 10-K for FY2021, consolidated statements of income. Transcribed via the historical block of GOOG_3_Statement_Model.xlsx.</t>
        </r>
      </text>
    </comment>
    <comment ref="B75" authorId="0">
      <text>
        <r>
          <rPr>
            <sz val="10"/>
            <rFont val="Arial"/>
            <family val="2"/>
          </rPr>
          <t xml:space="preserve">Cost of revenues | FY2021A
Source: Alphabet Inc. Form 10-K for FY2021, consolidated statements of income. Transcribed via the historical block of GOOG_3_Statement_Model.xlsx.</t>
        </r>
      </text>
    </comment>
    <comment ref="B76" authorId="0">
      <text>
        <r>
          <rPr>
            <sz val="10"/>
            <rFont val="Arial"/>
            <family val="2"/>
          </rPr>
          <t xml:space="preserve">Research and development | FY2021A
Source: Alphabet Inc. Form 10-K for FY2021, consolidated statements of income. Transcribed via the historical block of GOOG_3_Statement_Model.xlsx.</t>
        </r>
      </text>
    </comment>
    <comment ref="B77" authorId="0">
      <text>
        <r>
          <rPr>
            <sz val="10"/>
            <rFont val="Arial"/>
            <family val="2"/>
          </rPr>
          <t xml:space="preserve">Sales and marketing | FY2021A
Source: Alphabet Inc. Form 10-K for FY2021, consolidated statements of income. Transcribed via the historical block of GOOG_3_Statement_Model.xlsx.</t>
        </r>
      </text>
    </comment>
    <comment ref="B78" authorId="0">
      <text>
        <r>
          <rPr>
            <sz val="10"/>
            <rFont val="Arial"/>
            <family val="2"/>
          </rPr>
          <t xml:space="preserve">General and administrative | FY2021A
Source: Alphabet Inc. Form 10-K for FY2021, consolidated statements of income. Transcribed via the historical block of GOOG_3_Statement_Model.xlsx.</t>
        </r>
      </text>
    </comment>
    <comment ref="B79" authorId="0">
      <text>
        <r>
          <rPr>
            <sz val="10"/>
            <rFont val="Arial"/>
            <family val="2"/>
          </rPr>
          <t xml:space="preserve">Income from operations | FY2021A
Source: Alphabet Inc. Form 10-K for FY2021, consolidated statements of income. Transcribed via the historical block of GOOG_3_Statement_Model.xlsx.</t>
        </r>
      </text>
    </comment>
    <comment ref="B80" authorId="0">
      <text>
        <r>
          <rPr>
            <sz val="10"/>
            <rFont val="Arial"/>
            <family val="2"/>
          </rPr>
          <t xml:space="preserve">Depreciation of property and equipment | FY2021A
Source: Alphabet Inc. Form 10-K for FY2021, consolidated statements of cash flows. Transcribed via the historical block of GOOG_3_Statement_Model.xlsx.</t>
        </r>
      </text>
    </comment>
    <comment ref="B81" authorId="0">
      <text>
        <r>
          <rPr>
            <sz val="10"/>
            <rFont val="Arial"/>
            <family val="2"/>
          </rPr>
          <t xml:space="preserve">Source: GOOG_3_Statement_Model.xlsx Assumptions row 59 — 85% of depreciation is charged to cost of revenues, 15% to R&amp;D. Used to strip D&amp;A out of the reported opex lines so operating costs and depreciation are not double counted.</t>
        </r>
      </text>
    </comment>
    <comment ref="C74" authorId="0">
      <text>
        <r>
          <rPr>
            <sz val="10"/>
            <rFont val="Arial"/>
            <family val="2"/>
          </rPr>
          <t xml:space="preserve">Revenues | FY2022A
Source: Alphabet Inc. Form 10-K for FY2022, consolidated statements of income. Transcribed via the historical block of GOOG_3_Statement_Model.xlsx.</t>
        </r>
      </text>
    </comment>
    <comment ref="C75" authorId="0">
      <text>
        <r>
          <rPr>
            <sz val="10"/>
            <rFont val="Arial"/>
            <family val="2"/>
          </rPr>
          <t xml:space="preserve">Cost of revenues | FY2022A
Source: Alphabet Inc. Form 10-K for FY2022, consolidated statements of income. Transcribed via the historical block of GOOG_3_Statement_Model.xlsx.</t>
        </r>
      </text>
    </comment>
    <comment ref="C76" authorId="0">
      <text>
        <r>
          <rPr>
            <sz val="10"/>
            <rFont val="Arial"/>
            <family val="2"/>
          </rPr>
          <t xml:space="preserve">Research and development | FY2022A
Source: Alphabet Inc. Form 10-K for FY2022, consolidated statements of income. Transcribed via the historical block of GOOG_3_Statement_Model.xlsx.</t>
        </r>
      </text>
    </comment>
    <comment ref="C77" authorId="0">
      <text>
        <r>
          <rPr>
            <sz val="10"/>
            <rFont val="Arial"/>
            <family val="2"/>
          </rPr>
          <t xml:space="preserve">Sales and marketing | FY2022A
Source: Alphabet Inc. Form 10-K for FY2022, consolidated statements of income. Transcribed via the historical block of GOOG_3_Statement_Model.xlsx.</t>
        </r>
      </text>
    </comment>
    <comment ref="C78" authorId="0">
      <text>
        <r>
          <rPr>
            <sz val="10"/>
            <rFont val="Arial"/>
            <family val="2"/>
          </rPr>
          <t xml:space="preserve">General and administrative | FY2022A
Source: Alphabet Inc. Form 10-K for FY2022, consolidated statements of income. Transcribed via the historical block of GOOG_3_Statement_Model.xlsx.</t>
        </r>
      </text>
    </comment>
    <comment ref="C79" authorId="0">
      <text>
        <r>
          <rPr>
            <sz val="10"/>
            <rFont val="Arial"/>
            <family val="2"/>
          </rPr>
          <t xml:space="preserve">Income from operations | FY2022A
Source: Alphabet Inc. Form 10-K for FY2022, consolidated statements of income. Transcribed via the historical block of GOOG_3_Statement_Model.xlsx.</t>
        </r>
      </text>
    </comment>
    <comment ref="C80" authorId="0">
      <text>
        <r>
          <rPr>
            <sz val="10"/>
            <rFont val="Arial"/>
            <family val="2"/>
          </rPr>
          <t xml:space="preserve">Depreciation of property and equipment | FY2022A
Source: Alphabet Inc. Form 10-K for FY2022, consolidated statements of cash flows. Transcribed via the historical block of GOOG_3_Statement_Model.xlsx.</t>
        </r>
      </text>
    </comment>
    <comment ref="D74" authorId="0">
      <text>
        <r>
          <rPr>
            <sz val="10"/>
            <rFont val="Arial"/>
            <family val="2"/>
          </rPr>
          <t xml:space="preserve">Revenues | FY2023A
Source: Alphabet Inc. Form 10-K for FY2023, consolidated statements of income. Transcribed via the historical block of GOOG_3_Statement_Model.xlsx.</t>
        </r>
      </text>
    </comment>
    <comment ref="D75" authorId="0">
      <text>
        <r>
          <rPr>
            <sz val="10"/>
            <rFont val="Arial"/>
            <family val="2"/>
          </rPr>
          <t xml:space="preserve">Cost of revenues | FY2023A
Source: Alphabet Inc. Form 10-K for FY2023, consolidated statements of income. Transcribed via the historical block of GOOG_3_Statement_Model.xlsx.</t>
        </r>
      </text>
    </comment>
    <comment ref="D76" authorId="0">
      <text>
        <r>
          <rPr>
            <sz val="10"/>
            <rFont val="Arial"/>
            <family val="2"/>
          </rPr>
          <t xml:space="preserve">Research and development | FY2023A
Source: Alphabet Inc. Form 10-K for FY2023, consolidated statements of income. Transcribed via the historical block of GOOG_3_Statement_Model.xlsx.</t>
        </r>
      </text>
    </comment>
    <comment ref="D77" authorId="0">
      <text>
        <r>
          <rPr>
            <sz val="10"/>
            <rFont val="Arial"/>
            <family val="2"/>
          </rPr>
          <t xml:space="preserve">Sales and marketing | FY2023A
Source: Alphabet Inc. Form 10-K for FY2023, consolidated statements of income. Transcribed via the historical block of GOOG_3_Statement_Model.xlsx.</t>
        </r>
      </text>
    </comment>
    <comment ref="D78" authorId="0">
      <text>
        <r>
          <rPr>
            <sz val="10"/>
            <rFont val="Arial"/>
            <family val="2"/>
          </rPr>
          <t xml:space="preserve">General and administrative | FY2023A
Source: Alphabet Inc. Form 10-K for FY2023, consolidated statements of income. Transcribed via the historical block of GOOG_3_Statement_Model.xlsx.</t>
        </r>
      </text>
    </comment>
    <comment ref="D79" authorId="0">
      <text>
        <r>
          <rPr>
            <sz val="10"/>
            <rFont val="Arial"/>
            <family val="2"/>
          </rPr>
          <t xml:space="preserve">Income from operations | FY2023A
Source: Alphabet Inc. Form 10-K for FY2023, consolidated statements of income. Transcribed via the historical block of GOOG_3_Statement_Model.xlsx.</t>
        </r>
      </text>
    </comment>
    <comment ref="D80" authorId="0">
      <text>
        <r>
          <rPr>
            <sz val="10"/>
            <rFont val="Arial"/>
            <family val="2"/>
          </rPr>
          <t xml:space="preserve">Depreciation of property and equipment | FY2023A
Source: Alphabet Inc. Form 10-K for FY2023, consolidated statements of cash flows. Transcribed via the historical block of GOOG_3_Statement_Model.xlsx.</t>
        </r>
      </text>
    </comment>
    <comment ref="E74" authorId="0">
      <text>
        <r>
          <rPr>
            <sz val="10"/>
            <rFont val="Arial"/>
            <family val="2"/>
          </rPr>
          <t xml:space="preserve">Revenues | FY2024A
Source: Alphabet Inc. Form 10-K for FY2024, consolidated statements of income. Transcribed via the historical block of GOOG_3_Statement_Model.xlsx.</t>
        </r>
      </text>
    </comment>
    <comment ref="E75" authorId="0">
      <text>
        <r>
          <rPr>
            <sz val="10"/>
            <rFont val="Arial"/>
            <family val="2"/>
          </rPr>
          <t xml:space="preserve">Cost of revenues | FY2024A
Source: Alphabet Inc. Form 10-K for FY2024, consolidated statements of income. Transcribed via the historical block of GOOG_3_Statement_Model.xlsx.</t>
        </r>
      </text>
    </comment>
    <comment ref="E76" authorId="0">
      <text>
        <r>
          <rPr>
            <sz val="10"/>
            <rFont val="Arial"/>
            <family val="2"/>
          </rPr>
          <t xml:space="preserve">Research and development | FY2024A
Source: Alphabet Inc. Form 10-K for FY2024, consolidated statements of income. Transcribed via the historical block of GOOG_3_Statement_Model.xlsx.</t>
        </r>
      </text>
    </comment>
    <comment ref="E77" authorId="0">
      <text>
        <r>
          <rPr>
            <sz val="10"/>
            <rFont val="Arial"/>
            <family val="2"/>
          </rPr>
          <t xml:space="preserve">Sales and marketing | FY2024A
Source: Alphabet Inc. Form 10-K for FY2024, consolidated statements of income. Transcribed via the historical block of GOOG_3_Statement_Model.xlsx.</t>
        </r>
      </text>
    </comment>
    <comment ref="E78" authorId="0">
      <text>
        <r>
          <rPr>
            <sz val="10"/>
            <rFont val="Arial"/>
            <family val="2"/>
          </rPr>
          <t xml:space="preserve">General and administrative | FY2024A
Source: Alphabet Inc. Form 10-K for FY2024, consolidated statements of income. Transcribed via the historical block of GOOG_3_Statement_Model.xlsx.</t>
        </r>
      </text>
    </comment>
    <comment ref="E79" authorId="0">
      <text>
        <r>
          <rPr>
            <sz val="10"/>
            <rFont val="Arial"/>
            <family val="2"/>
          </rPr>
          <t xml:space="preserve">Income from operations | FY2024A
Source: Alphabet Inc. Form 10-K for FY2024, consolidated statements of income. Transcribed via the historical block of GOOG_3_Statement_Model.xlsx.</t>
        </r>
      </text>
    </comment>
    <comment ref="E80" authorId="0">
      <text>
        <r>
          <rPr>
            <sz val="10"/>
            <rFont val="Arial"/>
            <family val="2"/>
          </rPr>
          <t xml:space="preserve">Depreciation of property and equipment | FY2024A
Source: Alphabet Inc. Form 10-K for FY2024, consolidated statements of cash flows. Transcribed via the historical block of GOOG_3_Statement_Model.xlsx.</t>
        </r>
      </text>
    </comment>
    <comment ref="F74" authorId="0">
      <text>
        <r>
          <rPr>
            <sz val="10"/>
            <rFont val="Arial"/>
            <family val="2"/>
          </rPr>
          <t xml:space="preserve">Revenues | FY2025A
Source: Alphabet Inc. Form 10-K for FY2025, consolidated statements of income. Transcribed via the historical block of GOOG_3_Statement_Model.xlsx.</t>
        </r>
      </text>
    </comment>
    <comment ref="F75" authorId="0">
      <text>
        <r>
          <rPr>
            <sz val="10"/>
            <rFont val="Arial"/>
            <family val="2"/>
          </rPr>
          <t xml:space="preserve">Cost of revenues | FY2025A
Source: Alphabet Inc. Form 10-K for FY2025, consolidated statements of income. Transcribed via the historical block of GOOG_3_Statement_Model.xlsx.</t>
        </r>
      </text>
    </comment>
    <comment ref="F76" authorId="0">
      <text>
        <r>
          <rPr>
            <sz val="10"/>
            <rFont val="Arial"/>
            <family val="2"/>
          </rPr>
          <t xml:space="preserve">Research and development | FY2025A
Source: Alphabet Inc. Form 10-K for FY2025, consolidated statements of income. Transcribed via the historical block of GOOG_3_Statement_Model.xlsx.</t>
        </r>
      </text>
    </comment>
    <comment ref="F77" authorId="0">
      <text>
        <r>
          <rPr>
            <sz val="10"/>
            <rFont val="Arial"/>
            <family val="2"/>
          </rPr>
          <t xml:space="preserve">Sales and marketing | FY2025A
Source: Alphabet Inc. Form 10-K for FY2025, consolidated statements of income. Transcribed via the historical block of GOOG_3_Statement_Model.xlsx.</t>
        </r>
      </text>
    </comment>
    <comment ref="F78" authorId="0">
      <text>
        <r>
          <rPr>
            <sz val="10"/>
            <rFont val="Arial"/>
            <family val="2"/>
          </rPr>
          <t xml:space="preserve">General and administrative | FY2025A
Source: Alphabet Inc. Form 10-K for FY2025, consolidated statements of income. Transcribed via the historical block of GOOG_3_Statement_Model.xlsx.</t>
        </r>
      </text>
    </comment>
    <comment ref="F79" authorId="0">
      <text>
        <r>
          <rPr>
            <sz val="10"/>
            <rFont val="Arial"/>
            <family val="2"/>
          </rPr>
          <t xml:space="preserve">Income from operations | FY2025A
Source: Alphabet Inc. Form 10-K for FY2025, consolidated statements of income. Transcribed via the historical block of GOOG_3_Statement_Model.xlsx.</t>
        </r>
      </text>
    </comment>
    <comment ref="F80" authorId="0">
      <text>
        <r>
          <rPr>
            <sz val="10"/>
            <rFont val="Arial"/>
            <family val="2"/>
          </rPr>
          <t xml:space="preserve">Depreciation of property and equipment | FY2025A
Source: Alphabet Inc. Form 10-K for FY2025, consolidated statements of cash flows. Transcribed via the historical block of GOOG_3_Statement_Model.xlsx.</t>
        </r>
      </text>
    </comment>
    <comment ref="F113" authorId="0">
      <text>
        <r>
          <rPr>
            <sz val="10"/>
            <rFont val="Arial"/>
            <family val="2"/>
          </rPr>
          <t xml:space="preserve">Source: Alphabet FY2026 Q2 10-Q balance sheet, 31-Dec-2025 column: property and equipment, net $246,597m. Starting point for the projected roll-forward.</t>
        </r>
      </text>
    </comment>
    <comment ref="G22" authorId="0">
      <text>
        <r>
          <rPr>
            <sz val="10"/>
            <rFont val="Arial"/>
            <family val="2"/>
          </rPr>
          <t xml:space="preserve">Bear case | Revenue growth | FY2026E
Source: GOOG_3_Statement_Model.xlsx, Assumptions sheet, Downside case row for 'Revenue growth'. Mirrored unchanged so this DCF and the 3-statement model share one forecast.</t>
        </r>
      </text>
    </comment>
    <comment ref="G23" authorId="0">
      <text>
        <r>
          <rPr>
            <sz val="10"/>
            <rFont val="Arial"/>
            <family val="2"/>
          </rPr>
          <t xml:space="preserve">Bear case | Cost of revenues ex-D&amp;A (% of revenue) | FY2026E
Source: GOOG_3_Statement_Model.xlsx, Assumptions sheet, Downside case row for 'Cost of revenues ex-D&amp;A (% of revenue)'. Mirrored unchanged so this DCF and the 3-statement model share one forecast.</t>
        </r>
      </text>
    </comment>
    <comment ref="G24" authorId="0">
      <text>
        <r>
          <rPr>
            <sz val="10"/>
            <rFont val="Arial"/>
            <family val="2"/>
          </rPr>
          <t xml:space="preserve">Bear case | R&amp;D ex-D&amp;A (% of revenue) | FY2026E
Source: GOOG_3_Statement_Model.xlsx, Assumptions sheet, Downside case row for 'R&amp;D ex-D&amp;A (% of revenue)'. Mirrored unchanged so this DCF and the 3-statement model share one forecast.</t>
        </r>
      </text>
    </comment>
    <comment ref="G25" authorId="0">
      <text>
        <r>
          <rPr>
            <sz val="10"/>
            <rFont val="Arial"/>
            <family val="2"/>
          </rPr>
          <t xml:space="preserve">Bear case | Sales &amp; marketing (% of revenue) | FY2026E
Source: GOOG_3_Statement_Model.xlsx, Assumptions sheet, Downside case row for 'Sales &amp; marketing (% of revenue)'. Mirrored unchanged so this DCF and the 3-statement model share one forecast.</t>
        </r>
      </text>
    </comment>
    <comment ref="G26" authorId="0">
      <text>
        <r>
          <rPr>
            <sz val="10"/>
            <rFont val="Arial"/>
            <family val="2"/>
          </rPr>
          <t xml:space="preserve">Bear case | General &amp; administrative (% of revenue) | FY2026E
Source: GOOG_3_Statement_Model.xlsx, Assumptions sheet, Downside case row for 'General &amp; administrative (% of revenue)'. Mirrored unchanged so this DCF and the 3-statement model share one forecast.</t>
        </r>
      </text>
    </comment>
    <comment ref="G27" authorId="0">
      <text>
        <r>
          <rPr>
            <sz val="10"/>
            <rFont val="Arial"/>
            <family val="2"/>
          </rPr>
          <t xml:space="preserve">Bear case | Depreciation (% of beginning net PP&amp;E) | FY2026E
Source: GOOG_3_Statement_Model.xlsx, Assumptions sheet, Downside case row for 'Depreciation (% of beginning net PP&amp;E)'. Mirrored unchanged so this DCF and the 3-statement model share one forecast.</t>
        </r>
      </text>
    </comment>
    <comment ref="G28" authorId="0">
      <text>
        <r>
          <rPr>
            <sz val="10"/>
            <rFont val="Arial"/>
            <family val="2"/>
          </rPr>
          <t xml:space="preserve">Bear case | Capital expenditure ($m) | FY2026E
Source: GOOG_3_Statement_Model.xlsx, Assumptions sheet, Downside case row for 'Capital expenditure ($m)'. Mirrored unchanged so this DCF and the 3-statement model share one forecast.</t>
        </r>
      </text>
    </comment>
    <comment ref="G29" authorId="0">
      <text>
        <r>
          <rPr>
            <sz val="10"/>
            <rFont val="Arial"/>
            <family val="2"/>
          </rPr>
          <t xml:space="preserve">Bear case | Effective tax rate | FY2026E
Source: GOOG_3_Statement_Model.xlsx, Assumptions sheet, Downside case row for 'Effective tax rate'. Mirrored unchanged so this DCF and the 3-statement model share one forecast.</t>
        </r>
      </text>
    </comment>
    <comment ref="G30" authorId="0">
      <text>
        <r>
          <rPr>
            <sz val="10"/>
            <rFont val="Arial"/>
            <family val="2"/>
          </rPr>
          <t xml:space="preserve">Perpetuity growth rate applied to normalised terminal FCF. Base 3.0% = nominal GDP. Must stay below WACC.</t>
        </r>
      </text>
    </comment>
    <comment ref="G31" authorId="0">
      <text>
        <r>
          <rPr>
            <sz val="10"/>
            <rFont val="Arial"/>
            <family val="2"/>
          </rPr>
          <t xml:space="preserve">Case risk adjustment added to the WACC sheet's selected WACC. Bear +1.00%, Base 0.00%, Bull -0.75%.</t>
        </r>
      </text>
    </comment>
    <comment ref="G35" authorId="0">
      <text>
        <r>
          <rPr>
            <sz val="10"/>
            <rFont val="Arial"/>
            <family val="2"/>
          </rPr>
          <t xml:space="preserve">Base case | Revenue growth | FY2026E
Source: GOOG_3_Statement_Model.xlsx, Assumptions sheet, Base case row for 'Revenue growth'. Mirrored unchanged so this DCF and the 3-statement model share one forecast.</t>
        </r>
      </text>
    </comment>
    <comment ref="G36" authorId="0">
      <text>
        <r>
          <rPr>
            <sz val="10"/>
            <rFont val="Arial"/>
            <family val="2"/>
          </rPr>
          <t xml:space="preserve">Base case | Cost of revenues ex-D&amp;A (% of revenue) | FY2026E
Source: GOOG_3_Statement_Model.xlsx, Assumptions sheet, Base case row for 'Cost of revenues ex-D&amp;A (% of revenue)'. Mirrored unchanged so this DCF and the 3-statement model share one forecast.</t>
        </r>
      </text>
    </comment>
    <comment ref="G37" authorId="0">
      <text>
        <r>
          <rPr>
            <sz val="10"/>
            <rFont val="Arial"/>
            <family val="2"/>
          </rPr>
          <t xml:space="preserve">Base case | R&amp;D ex-D&amp;A (% of revenue) | FY2026E
Source: GOOG_3_Statement_Model.xlsx, Assumptions sheet, Base case row for 'R&amp;D ex-D&amp;A (% of revenue)'. Mirrored unchanged so this DCF and the 3-statement model share one forecast.</t>
        </r>
      </text>
    </comment>
    <comment ref="G38" authorId="0">
      <text>
        <r>
          <rPr>
            <sz val="10"/>
            <rFont val="Arial"/>
            <family val="2"/>
          </rPr>
          <t xml:space="preserve">Base case | Sales &amp; marketing (% of revenue) | FY2026E
Source: GOOG_3_Statement_Model.xlsx, Assumptions sheet, Base case row for 'Sales &amp; marketing (% of revenue)'. Mirrored unchanged so this DCF and the 3-statement model share one forecast.</t>
        </r>
      </text>
    </comment>
    <comment ref="G39" authorId="0">
      <text>
        <r>
          <rPr>
            <sz val="10"/>
            <rFont val="Arial"/>
            <family val="2"/>
          </rPr>
          <t xml:space="preserve">Base case | General &amp; administrative (% of revenue) | FY2026E
Source: GOOG_3_Statement_Model.xlsx, Assumptions sheet, Base case row for 'General &amp; administrative (% of revenue)'. Mirrored unchanged so this DCF and the 3-statement model share one forecast.</t>
        </r>
      </text>
    </comment>
    <comment ref="G40" authorId="0">
      <text>
        <r>
          <rPr>
            <sz val="10"/>
            <rFont val="Arial"/>
            <family val="2"/>
          </rPr>
          <t xml:space="preserve">Base case | Depreciation (% of beginning net PP&amp;E) | FY2026E
Source: GOOG_3_Statement_Model.xlsx, Assumptions sheet, Base case row for 'Depreciation (% of beginning net PP&amp;E)'. Mirrored unchanged so this DCF and the 3-statement model share one forecast.</t>
        </r>
      </text>
    </comment>
    <comment ref="G41" authorId="0">
      <text>
        <r>
          <rPr>
            <sz val="10"/>
            <rFont val="Arial"/>
            <family val="2"/>
          </rPr>
          <t xml:space="preserve">Base case | Capital expenditure ($m) | FY2026E
Source: GOOG_3_Statement_Model.xlsx, Assumptions sheet, Base case row for 'Capital expenditure ($m)'. Mirrored unchanged so this DCF and the 3-statement model share one forecast.</t>
        </r>
      </text>
    </comment>
    <comment ref="G42" authorId="0">
      <text>
        <r>
          <rPr>
            <sz val="10"/>
            <rFont val="Arial"/>
            <family val="2"/>
          </rPr>
          <t xml:space="preserve">Base case | Effective tax rate | FY2026E
Source: GOOG_3_Statement_Model.xlsx, Assumptions sheet, Base case row for 'Effective tax rate'. Mirrored unchanged so this DCF and the 3-statement model share one forecast.</t>
        </r>
      </text>
    </comment>
    <comment ref="G43" authorId="0">
      <text>
        <r>
          <rPr>
            <sz val="10"/>
            <rFont val="Arial"/>
            <family val="2"/>
          </rPr>
          <t xml:space="preserve">Perpetuity growth rate applied to normalised terminal FCF. Base 3.0% = nominal GDP. Must stay below WACC.</t>
        </r>
      </text>
    </comment>
    <comment ref="G44" authorId="0">
      <text>
        <r>
          <rPr>
            <sz val="10"/>
            <rFont val="Arial"/>
            <family val="2"/>
          </rPr>
          <t xml:space="preserve">Case risk adjustment added to the WACC sheet's selected WACC. Bear +1.00%, Base 0.00%, Bull -0.75%.</t>
        </r>
      </text>
    </comment>
    <comment ref="G48" authorId="0">
      <text>
        <r>
          <rPr>
            <sz val="10"/>
            <rFont val="Arial"/>
            <family val="2"/>
          </rPr>
          <t xml:space="preserve">Bull case | Revenue growth | FY2026E
Source: GOOG_3_Statement_Model.xlsx, Assumptions sheet, Upside case row for 'Revenue growth'. Mirrored unchanged so this DCF and the 3-statement model share one forecast.</t>
        </r>
      </text>
    </comment>
    <comment ref="G49" authorId="0">
      <text>
        <r>
          <rPr>
            <sz val="10"/>
            <rFont val="Arial"/>
            <family val="2"/>
          </rPr>
          <t xml:space="preserve">Bull case | Cost of revenues ex-D&amp;A (% of revenue) | FY2026E
Source: GOOG_3_Statement_Model.xlsx, Assumptions sheet, Upside case row for 'Cost of revenues ex-D&amp;A (% of revenue)'. Mirrored unchanged so this DCF and the 3-statement model share one forecast.</t>
        </r>
      </text>
    </comment>
    <comment ref="G50" authorId="0">
      <text>
        <r>
          <rPr>
            <sz val="10"/>
            <rFont val="Arial"/>
            <family val="2"/>
          </rPr>
          <t xml:space="preserve">Bull case | R&amp;D ex-D&amp;A (% of revenue) | FY2026E
Source: GOOG_3_Statement_Model.xlsx, Assumptions sheet, Upside case row for 'R&amp;D ex-D&amp;A (% of revenue)'. Mirrored unchanged so this DCF and the 3-statement model share one forecast.</t>
        </r>
      </text>
    </comment>
    <comment ref="G51" authorId="0">
      <text>
        <r>
          <rPr>
            <sz val="10"/>
            <rFont val="Arial"/>
            <family val="2"/>
          </rPr>
          <t xml:space="preserve">Bull case | Sales &amp; marketing (% of revenue) | FY2026E
Source: GOOG_3_Statement_Model.xlsx, Assumptions sheet, Upside case row for 'Sales &amp; marketing (% of revenue)'. Mirrored unchanged so this DCF and the 3-statement model share one forecast.</t>
        </r>
      </text>
    </comment>
    <comment ref="G52" authorId="0">
      <text>
        <r>
          <rPr>
            <sz val="10"/>
            <rFont val="Arial"/>
            <family val="2"/>
          </rPr>
          <t xml:space="preserve">Bull case | General &amp; administrative (% of revenue) | FY2026E
Source: GOOG_3_Statement_Model.xlsx, Assumptions sheet, Upside case row for 'General &amp; administrative (% of revenue)'. Mirrored unchanged so this DCF and the 3-statement model share one forecast.</t>
        </r>
      </text>
    </comment>
    <comment ref="G53" authorId="0">
      <text>
        <r>
          <rPr>
            <sz val="10"/>
            <rFont val="Arial"/>
            <family val="2"/>
          </rPr>
          <t xml:space="preserve">Bull case | Depreciation (% of beginning net PP&amp;E) | FY2026E
Source: GOOG_3_Statement_Model.xlsx, Assumptions sheet, Upside case row for 'Depreciation (% of beginning net PP&amp;E)'. Mirrored unchanged so this DCF and the 3-statement model share one forecast.</t>
        </r>
      </text>
    </comment>
    <comment ref="G54" authorId="0">
      <text>
        <r>
          <rPr>
            <sz val="10"/>
            <rFont val="Arial"/>
            <family val="2"/>
          </rPr>
          <t xml:space="preserve">Bull case | Capital expenditure ($m) | FY2026E
Source: GOOG_3_Statement_Model.xlsx, Assumptions sheet, Upside case row for 'Capital expenditure ($m)'. Mirrored unchanged so this DCF and the 3-statement model share one forecast.</t>
        </r>
      </text>
    </comment>
    <comment ref="G55" authorId="0">
      <text>
        <r>
          <rPr>
            <sz val="10"/>
            <rFont val="Arial"/>
            <family val="2"/>
          </rPr>
          <t xml:space="preserve">Bull case | Effective tax rate | FY2026E
Source: GOOG_3_Statement_Model.xlsx, Assumptions sheet, Upside case row for 'Effective tax rate'. Mirrored unchanged so this DCF and the 3-statement model share one forecast.</t>
        </r>
      </text>
    </comment>
    <comment ref="G56" authorId="0">
      <text>
        <r>
          <rPr>
            <sz val="10"/>
            <rFont val="Arial"/>
            <family val="2"/>
          </rPr>
          <t xml:space="preserve">Perpetuity growth rate applied to normalised terminal FCF. Base 3.0% = nominal GDP. Must stay below WACC.</t>
        </r>
      </text>
    </comment>
    <comment ref="G57" authorId="0">
      <text>
        <r>
          <rPr>
            <sz val="10"/>
            <rFont val="Arial"/>
            <family val="2"/>
          </rPr>
          <t xml:space="preserve">Case risk adjustment added to the WACC sheet's selected WACC. Bear +1.00%, Base 0.00%, Bull -0.75%.</t>
        </r>
      </text>
    </comment>
    <comment ref="H22" authorId="0">
      <text>
        <r>
          <rPr>
            <sz val="10"/>
            <rFont val="Arial"/>
            <family val="2"/>
          </rPr>
          <t xml:space="preserve">Bear case | Revenue growth | FY2027E
Source: GOOG_3_Statement_Model.xlsx, Assumptions sheet, Downside case row for 'Revenue growth'. Mirrored unchanged so this DCF and the 3-statement model share one forecast.</t>
        </r>
      </text>
    </comment>
    <comment ref="H23" authorId="0">
      <text>
        <r>
          <rPr>
            <sz val="10"/>
            <rFont val="Arial"/>
            <family val="2"/>
          </rPr>
          <t xml:space="preserve">Bear case | Cost of revenues ex-D&amp;A (% of revenue) | FY2027E
Source: GOOG_3_Statement_Model.xlsx, Assumptions sheet, Downside case row for 'Cost of revenues ex-D&amp;A (% of revenue)'. Mirrored unchanged so this DCF and the 3-statement model share one forecast.</t>
        </r>
      </text>
    </comment>
    <comment ref="H24" authorId="0">
      <text>
        <r>
          <rPr>
            <sz val="10"/>
            <rFont val="Arial"/>
            <family val="2"/>
          </rPr>
          <t xml:space="preserve">Bear case | R&amp;D ex-D&amp;A (% of revenue) | FY2027E
Source: GOOG_3_Statement_Model.xlsx, Assumptions sheet, Downside case row for 'R&amp;D ex-D&amp;A (% of revenue)'. Mirrored unchanged so this DCF and the 3-statement model share one forecast.</t>
        </r>
      </text>
    </comment>
    <comment ref="H25" authorId="0">
      <text>
        <r>
          <rPr>
            <sz val="10"/>
            <rFont val="Arial"/>
            <family val="2"/>
          </rPr>
          <t xml:space="preserve">Bear case | Sales &amp; marketing (% of revenue) | FY2027E
Source: GOOG_3_Statement_Model.xlsx, Assumptions sheet, Downside case row for 'Sales &amp; marketing (% of revenue)'. Mirrored unchanged so this DCF and the 3-statement model share one forecast.</t>
        </r>
      </text>
    </comment>
    <comment ref="H26" authorId="0">
      <text>
        <r>
          <rPr>
            <sz val="10"/>
            <rFont val="Arial"/>
            <family val="2"/>
          </rPr>
          <t xml:space="preserve">Bear case | General &amp; administrative (% of revenue) | FY2027E
Source: GOOG_3_Statement_Model.xlsx, Assumptions sheet, Downside case row for 'General &amp; administrative (% of revenue)'. Mirrored unchanged so this DCF and the 3-statement model share one forecast.</t>
        </r>
      </text>
    </comment>
    <comment ref="H27" authorId="0">
      <text>
        <r>
          <rPr>
            <sz val="10"/>
            <rFont val="Arial"/>
            <family val="2"/>
          </rPr>
          <t xml:space="preserve">Bear case | Depreciation (% of beginning net PP&amp;E) | FY2027E
Source: GOOG_3_Statement_Model.xlsx, Assumptions sheet, Downside case row for 'Depreciation (% of beginning net PP&amp;E)'. Mirrored unchanged so this DCF and the 3-statement model share one forecast.</t>
        </r>
      </text>
    </comment>
    <comment ref="H28" authorId="0">
      <text>
        <r>
          <rPr>
            <sz val="10"/>
            <rFont val="Arial"/>
            <family val="2"/>
          </rPr>
          <t xml:space="preserve">Bear case | Capital expenditure ($m) | FY2027E
Source: GOOG_3_Statement_Model.xlsx, Assumptions sheet, Downside case row for 'Capital expenditure ($m)'. Mirrored unchanged so this DCF and the 3-statement model share one forecast.</t>
        </r>
      </text>
    </comment>
    <comment ref="H29" authorId="0">
      <text>
        <r>
          <rPr>
            <sz val="10"/>
            <rFont val="Arial"/>
            <family val="2"/>
          </rPr>
          <t xml:space="preserve">Bear case | Effective tax rate | FY2027E
Source: GOOG_3_Statement_Model.xlsx, Assumptions sheet, Downside case row for 'Effective tax rate'. Mirrored unchanged so this DCF and the 3-statement model share one forecast.</t>
        </r>
      </text>
    </comment>
    <comment ref="H35" authorId="0">
      <text>
        <r>
          <rPr>
            <sz val="10"/>
            <rFont val="Arial"/>
            <family val="2"/>
          </rPr>
          <t xml:space="preserve">Base case | Revenue growth | FY2027E
Source: GOOG_3_Statement_Model.xlsx, Assumptions sheet, Base case row for 'Revenue growth'. Mirrored unchanged so this DCF and the 3-statement model share one forecast.</t>
        </r>
      </text>
    </comment>
    <comment ref="H36" authorId="0">
      <text>
        <r>
          <rPr>
            <sz val="10"/>
            <rFont val="Arial"/>
            <family val="2"/>
          </rPr>
          <t xml:space="preserve">Base case | Cost of revenues ex-D&amp;A (% of revenue) | FY2027E
Source: GOOG_3_Statement_Model.xlsx, Assumptions sheet, Base case row for 'Cost of revenues ex-D&amp;A (% of revenue)'. Mirrored unchanged so this DCF and the 3-statement model share one forecast.</t>
        </r>
      </text>
    </comment>
    <comment ref="H37" authorId="0">
      <text>
        <r>
          <rPr>
            <sz val="10"/>
            <rFont val="Arial"/>
            <family val="2"/>
          </rPr>
          <t xml:space="preserve">Base case | R&amp;D ex-D&amp;A (% of revenue) | FY2027E
Source: GOOG_3_Statement_Model.xlsx, Assumptions sheet, Base case row for 'R&amp;D ex-D&amp;A (% of revenue)'. Mirrored unchanged so this DCF and the 3-statement model share one forecast.</t>
        </r>
      </text>
    </comment>
    <comment ref="H38" authorId="0">
      <text>
        <r>
          <rPr>
            <sz val="10"/>
            <rFont val="Arial"/>
            <family val="2"/>
          </rPr>
          <t xml:space="preserve">Base case | Sales &amp; marketing (% of revenue) | FY2027E
Source: GOOG_3_Statement_Model.xlsx, Assumptions sheet, Base case row for 'Sales &amp; marketing (% of revenue)'. Mirrored unchanged so this DCF and the 3-statement model share one forecast.</t>
        </r>
      </text>
    </comment>
    <comment ref="H39" authorId="0">
      <text>
        <r>
          <rPr>
            <sz val="10"/>
            <rFont val="Arial"/>
            <family val="2"/>
          </rPr>
          <t xml:space="preserve">Base case | General &amp; administrative (% of revenue) | FY2027E
Source: GOOG_3_Statement_Model.xlsx, Assumptions sheet, Base case row for 'General &amp; administrative (% of revenue)'. Mirrored unchanged so this DCF and the 3-statement model share one forecast.</t>
        </r>
      </text>
    </comment>
    <comment ref="H40" authorId="0">
      <text>
        <r>
          <rPr>
            <sz val="10"/>
            <rFont val="Arial"/>
            <family val="2"/>
          </rPr>
          <t xml:space="preserve">Base case | Depreciation (% of beginning net PP&amp;E) | FY2027E
Source: GOOG_3_Statement_Model.xlsx, Assumptions sheet, Base case row for 'Depreciation (% of beginning net PP&amp;E)'. Mirrored unchanged so this DCF and the 3-statement model share one forecast.</t>
        </r>
      </text>
    </comment>
    <comment ref="H41" authorId="0">
      <text>
        <r>
          <rPr>
            <sz val="10"/>
            <rFont val="Arial"/>
            <family val="2"/>
          </rPr>
          <t xml:space="preserve">Base case | Capital expenditure ($m) | FY2027E
Source: GOOG_3_Statement_Model.xlsx, Assumptions sheet, Base case row for 'Capital expenditure ($m)'. Mirrored unchanged so this DCF and the 3-statement model share one forecast.</t>
        </r>
      </text>
    </comment>
    <comment ref="H42" authorId="0">
      <text>
        <r>
          <rPr>
            <sz val="10"/>
            <rFont val="Arial"/>
            <family val="2"/>
          </rPr>
          <t xml:space="preserve">Base case | Effective tax rate | FY2027E
Source: GOOG_3_Statement_Model.xlsx, Assumptions sheet, Base case row for 'Effective tax rate'. Mirrored unchanged so this DCF and the 3-statement model share one forecast.</t>
        </r>
      </text>
    </comment>
    <comment ref="H48" authorId="0">
      <text>
        <r>
          <rPr>
            <sz val="10"/>
            <rFont val="Arial"/>
            <family val="2"/>
          </rPr>
          <t xml:space="preserve">Bull case | Revenue growth | FY2027E
Source: GOOG_3_Statement_Model.xlsx, Assumptions sheet, Upside case row for 'Revenue growth'. Mirrored unchanged so this DCF and the 3-statement model share one forecast.</t>
        </r>
      </text>
    </comment>
    <comment ref="H49" authorId="0">
      <text>
        <r>
          <rPr>
            <sz val="10"/>
            <rFont val="Arial"/>
            <family val="2"/>
          </rPr>
          <t xml:space="preserve">Bull case | Cost of revenues ex-D&amp;A (% of revenue) | FY2027E
Source: GOOG_3_Statement_Model.xlsx, Assumptions sheet, Upside case row for 'Cost of revenues ex-D&amp;A (% of revenue)'. Mirrored unchanged so this DCF and the 3-statement model share one forecast.</t>
        </r>
      </text>
    </comment>
    <comment ref="H50" authorId="0">
      <text>
        <r>
          <rPr>
            <sz val="10"/>
            <rFont val="Arial"/>
            <family val="2"/>
          </rPr>
          <t xml:space="preserve">Bull case | R&amp;D ex-D&amp;A (% of revenue) | FY2027E
Source: GOOG_3_Statement_Model.xlsx, Assumptions sheet, Upside case row for 'R&amp;D ex-D&amp;A (% of revenue)'. Mirrored unchanged so this DCF and the 3-statement model share one forecast.</t>
        </r>
      </text>
    </comment>
    <comment ref="H51" authorId="0">
      <text>
        <r>
          <rPr>
            <sz val="10"/>
            <rFont val="Arial"/>
            <family val="2"/>
          </rPr>
          <t xml:space="preserve">Bull case | Sales &amp; marketing (% of revenue) | FY2027E
Source: GOOG_3_Statement_Model.xlsx, Assumptions sheet, Upside case row for 'Sales &amp; marketing (% of revenue)'. Mirrored unchanged so this DCF and the 3-statement model share one forecast.</t>
        </r>
      </text>
    </comment>
    <comment ref="H52" authorId="0">
      <text>
        <r>
          <rPr>
            <sz val="10"/>
            <rFont val="Arial"/>
            <family val="2"/>
          </rPr>
          <t xml:space="preserve">Bull case | General &amp; administrative (% of revenue) | FY2027E
Source: GOOG_3_Statement_Model.xlsx, Assumptions sheet, Upside case row for 'General &amp; administrative (% of revenue)'. Mirrored unchanged so this DCF and the 3-statement model share one forecast.</t>
        </r>
      </text>
    </comment>
    <comment ref="H53" authorId="0">
      <text>
        <r>
          <rPr>
            <sz val="10"/>
            <rFont val="Arial"/>
            <family val="2"/>
          </rPr>
          <t xml:space="preserve">Bull case | Depreciation (% of beginning net PP&amp;E) | FY2027E
Source: GOOG_3_Statement_Model.xlsx, Assumptions sheet, Upside case row for 'Depreciation (% of beginning net PP&amp;E)'. Mirrored unchanged so this DCF and the 3-statement model share one forecast.</t>
        </r>
      </text>
    </comment>
    <comment ref="H54" authorId="0">
      <text>
        <r>
          <rPr>
            <sz val="10"/>
            <rFont val="Arial"/>
            <family val="2"/>
          </rPr>
          <t xml:space="preserve">Bull case | Capital expenditure ($m) | FY2027E
Source: GOOG_3_Statement_Model.xlsx, Assumptions sheet, Upside case row for 'Capital expenditure ($m)'. Mirrored unchanged so this DCF and the 3-statement model share one forecast.</t>
        </r>
      </text>
    </comment>
    <comment ref="H55" authorId="0">
      <text>
        <r>
          <rPr>
            <sz val="10"/>
            <rFont val="Arial"/>
            <family val="2"/>
          </rPr>
          <t xml:space="preserve">Bull case | Effective tax rate | FY2027E
Source: GOOG_3_Statement_Model.xlsx, Assumptions sheet, Upside case row for 'Effective tax rate'. Mirrored unchanged so this DCF and the 3-statement model share one forecast.</t>
        </r>
      </text>
    </comment>
    <comment ref="I22" authorId="0">
      <text>
        <r>
          <rPr>
            <sz val="10"/>
            <rFont val="Arial"/>
            <family val="2"/>
          </rPr>
          <t xml:space="preserve">Bear case | Revenue growth | FY2028E
Source: GOOG_3_Statement_Model.xlsx, Assumptions sheet, Downside case row for 'Revenue growth'. Mirrored unchanged so this DCF and the 3-statement model share one forecast.</t>
        </r>
      </text>
    </comment>
    <comment ref="I23" authorId="0">
      <text>
        <r>
          <rPr>
            <sz val="10"/>
            <rFont val="Arial"/>
            <family val="2"/>
          </rPr>
          <t xml:space="preserve">Bear case | Cost of revenues ex-D&amp;A (% of revenue) | FY2028E
Source: GOOG_3_Statement_Model.xlsx, Assumptions sheet, Downside case row for 'Cost of revenues ex-D&amp;A (% of revenue)'. Mirrored unchanged so this DCF and the 3-statement model share one forecast.</t>
        </r>
      </text>
    </comment>
    <comment ref="I24" authorId="0">
      <text>
        <r>
          <rPr>
            <sz val="10"/>
            <rFont val="Arial"/>
            <family val="2"/>
          </rPr>
          <t xml:space="preserve">Bear case | R&amp;D ex-D&amp;A (% of revenue) | FY2028E
Source: GOOG_3_Statement_Model.xlsx, Assumptions sheet, Downside case row for 'R&amp;D ex-D&amp;A (% of revenue)'. Mirrored unchanged so this DCF and the 3-statement model share one forecast.</t>
        </r>
      </text>
    </comment>
    <comment ref="I25" authorId="0">
      <text>
        <r>
          <rPr>
            <sz val="10"/>
            <rFont val="Arial"/>
            <family val="2"/>
          </rPr>
          <t xml:space="preserve">Bear case | Sales &amp; marketing (% of revenue) | FY2028E
Source: GOOG_3_Statement_Model.xlsx, Assumptions sheet, Downside case row for 'Sales &amp; marketing (% of revenue)'. Mirrored unchanged so this DCF and the 3-statement model share one forecast.</t>
        </r>
      </text>
    </comment>
    <comment ref="I26" authorId="0">
      <text>
        <r>
          <rPr>
            <sz val="10"/>
            <rFont val="Arial"/>
            <family val="2"/>
          </rPr>
          <t xml:space="preserve">Bear case | General &amp; administrative (% of revenue) | FY2028E
Source: GOOG_3_Statement_Model.xlsx, Assumptions sheet, Downside case row for 'General &amp; administrative (% of revenue)'. Mirrored unchanged so this DCF and the 3-statement model share one forecast.</t>
        </r>
      </text>
    </comment>
    <comment ref="I27" authorId="0">
      <text>
        <r>
          <rPr>
            <sz val="10"/>
            <rFont val="Arial"/>
            <family val="2"/>
          </rPr>
          <t xml:space="preserve">Bear case | Depreciation (% of beginning net PP&amp;E) | FY2028E
Source: GOOG_3_Statement_Model.xlsx, Assumptions sheet, Downside case row for 'Depreciation (% of beginning net PP&amp;E)'. Mirrored unchanged so this DCF and the 3-statement model share one forecast.</t>
        </r>
      </text>
    </comment>
    <comment ref="I28" authorId="0">
      <text>
        <r>
          <rPr>
            <sz val="10"/>
            <rFont val="Arial"/>
            <family val="2"/>
          </rPr>
          <t xml:space="preserve">Bear case | Capital expenditure ($m) | FY2028E
Source: GOOG_3_Statement_Model.xlsx, Assumptions sheet, Downside case row for 'Capital expenditure ($m)'. Mirrored unchanged so this DCF and the 3-statement model share one forecast.</t>
        </r>
      </text>
    </comment>
    <comment ref="I29" authorId="0">
      <text>
        <r>
          <rPr>
            <sz val="10"/>
            <rFont val="Arial"/>
            <family val="2"/>
          </rPr>
          <t xml:space="preserve">Bear case | Effective tax rate | FY2028E
Source: GOOG_3_Statement_Model.xlsx, Assumptions sheet, Downside case row for 'Effective tax rate'. Mirrored unchanged so this DCF and the 3-statement model share one forecast.</t>
        </r>
      </text>
    </comment>
    <comment ref="I35" authorId="0">
      <text>
        <r>
          <rPr>
            <sz val="10"/>
            <rFont val="Arial"/>
            <family val="2"/>
          </rPr>
          <t xml:space="preserve">Base case | Revenue growth | FY2028E
Source: GOOG_3_Statement_Model.xlsx, Assumptions sheet, Base case row for 'Revenue growth'. Mirrored unchanged so this DCF and the 3-statement model share one forecast.</t>
        </r>
      </text>
    </comment>
    <comment ref="I36" authorId="0">
      <text>
        <r>
          <rPr>
            <sz val="10"/>
            <rFont val="Arial"/>
            <family val="2"/>
          </rPr>
          <t xml:space="preserve">Base case | Cost of revenues ex-D&amp;A (% of revenue) | FY2028E
Source: GOOG_3_Statement_Model.xlsx, Assumptions sheet, Base case row for 'Cost of revenues ex-D&amp;A (% of revenue)'. Mirrored unchanged so this DCF and the 3-statement model share one forecast.</t>
        </r>
      </text>
    </comment>
    <comment ref="I37" authorId="0">
      <text>
        <r>
          <rPr>
            <sz val="10"/>
            <rFont val="Arial"/>
            <family val="2"/>
          </rPr>
          <t xml:space="preserve">Base case | R&amp;D ex-D&amp;A (% of revenue) | FY2028E
Source: GOOG_3_Statement_Model.xlsx, Assumptions sheet, Base case row for 'R&amp;D ex-D&amp;A (% of revenue)'. Mirrored unchanged so this DCF and the 3-statement model share one forecast.</t>
        </r>
      </text>
    </comment>
    <comment ref="I38" authorId="0">
      <text>
        <r>
          <rPr>
            <sz val="10"/>
            <rFont val="Arial"/>
            <family val="2"/>
          </rPr>
          <t xml:space="preserve">Base case | Sales &amp; marketing (% of revenue) | FY2028E
Source: GOOG_3_Statement_Model.xlsx, Assumptions sheet, Base case row for 'Sales &amp; marketing (% of revenue)'. Mirrored unchanged so this DCF and the 3-statement model share one forecast.</t>
        </r>
      </text>
    </comment>
    <comment ref="I39" authorId="0">
      <text>
        <r>
          <rPr>
            <sz val="10"/>
            <rFont val="Arial"/>
            <family val="2"/>
          </rPr>
          <t xml:space="preserve">Base case | General &amp; administrative (% of revenue) | FY2028E
Source: GOOG_3_Statement_Model.xlsx, Assumptions sheet, Base case row for 'General &amp; administrative (% of revenue)'. Mirrored unchanged so this DCF and the 3-statement model share one forecast.</t>
        </r>
      </text>
    </comment>
    <comment ref="I40" authorId="0">
      <text>
        <r>
          <rPr>
            <sz val="10"/>
            <rFont val="Arial"/>
            <family val="2"/>
          </rPr>
          <t xml:space="preserve">Base case | Depreciation (% of beginning net PP&amp;E) | FY2028E
Source: GOOG_3_Statement_Model.xlsx, Assumptions sheet, Base case row for 'Depreciation (% of beginning net PP&amp;E)'. Mirrored unchanged so this DCF and the 3-statement model share one forecast.</t>
        </r>
      </text>
    </comment>
    <comment ref="I41" authorId="0">
      <text>
        <r>
          <rPr>
            <sz val="10"/>
            <rFont val="Arial"/>
            <family val="2"/>
          </rPr>
          <t xml:space="preserve">Base case | Capital expenditure ($m) | FY2028E
Source: GOOG_3_Statement_Model.xlsx, Assumptions sheet, Base case row for 'Capital expenditure ($m)'. Mirrored unchanged so this DCF and the 3-statement model share one forecast.</t>
        </r>
      </text>
    </comment>
    <comment ref="I42" authorId="0">
      <text>
        <r>
          <rPr>
            <sz val="10"/>
            <rFont val="Arial"/>
            <family val="2"/>
          </rPr>
          <t xml:space="preserve">Base case | Effective tax rate | FY2028E
Source: GOOG_3_Statement_Model.xlsx, Assumptions sheet, Base case row for 'Effective tax rate'. Mirrored unchanged so this DCF and the 3-statement model share one forecast.</t>
        </r>
      </text>
    </comment>
    <comment ref="I48" authorId="0">
      <text>
        <r>
          <rPr>
            <sz val="10"/>
            <rFont val="Arial"/>
            <family val="2"/>
          </rPr>
          <t xml:space="preserve">Bull case | Revenue growth | FY2028E
Source: GOOG_3_Statement_Model.xlsx, Assumptions sheet, Upside case row for 'Revenue growth'. Mirrored unchanged so this DCF and the 3-statement model share one forecast.</t>
        </r>
      </text>
    </comment>
    <comment ref="I49" authorId="0">
      <text>
        <r>
          <rPr>
            <sz val="10"/>
            <rFont val="Arial"/>
            <family val="2"/>
          </rPr>
          <t xml:space="preserve">Bull case | Cost of revenues ex-D&amp;A (% of revenue) | FY2028E
Source: GOOG_3_Statement_Model.xlsx, Assumptions sheet, Upside case row for 'Cost of revenues ex-D&amp;A (% of revenue)'. Mirrored unchanged so this DCF and the 3-statement model share one forecast.</t>
        </r>
      </text>
    </comment>
    <comment ref="I50" authorId="0">
      <text>
        <r>
          <rPr>
            <sz val="10"/>
            <rFont val="Arial"/>
            <family val="2"/>
          </rPr>
          <t xml:space="preserve">Bull case | R&amp;D ex-D&amp;A (% of revenue) | FY2028E
Source: GOOG_3_Statement_Model.xlsx, Assumptions sheet, Upside case row for 'R&amp;D ex-D&amp;A (% of revenue)'. Mirrored unchanged so this DCF and the 3-statement model share one forecast.</t>
        </r>
      </text>
    </comment>
    <comment ref="I51" authorId="0">
      <text>
        <r>
          <rPr>
            <sz val="10"/>
            <rFont val="Arial"/>
            <family val="2"/>
          </rPr>
          <t xml:space="preserve">Bull case | Sales &amp; marketing (% of revenue) | FY2028E
Source: GOOG_3_Statement_Model.xlsx, Assumptions sheet, Upside case row for 'Sales &amp; marketing (% of revenue)'. Mirrored unchanged so this DCF and the 3-statement model share one forecast.</t>
        </r>
      </text>
    </comment>
    <comment ref="I52" authorId="0">
      <text>
        <r>
          <rPr>
            <sz val="10"/>
            <rFont val="Arial"/>
            <family val="2"/>
          </rPr>
          <t xml:space="preserve">Bull case | General &amp; administrative (% of revenue) | FY2028E
Source: GOOG_3_Statement_Model.xlsx, Assumptions sheet, Upside case row for 'General &amp; administrative (% of revenue)'. Mirrored unchanged so this DCF and the 3-statement model share one forecast.</t>
        </r>
      </text>
    </comment>
    <comment ref="I53" authorId="0">
      <text>
        <r>
          <rPr>
            <sz val="10"/>
            <rFont val="Arial"/>
            <family val="2"/>
          </rPr>
          <t xml:space="preserve">Bull case | Depreciation (% of beginning net PP&amp;E) | FY2028E
Source: GOOG_3_Statement_Model.xlsx, Assumptions sheet, Upside case row for 'Depreciation (% of beginning net PP&amp;E)'. Mirrored unchanged so this DCF and the 3-statement model share one forecast.</t>
        </r>
      </text>
    </comment>
    <comment ref="I54" authorId="0">
      <text>
        <r>
          <rPr>
            <sz val="10"/>
            <rFont val="Arial"/>
            <family val="2"/>
          </rPr>
          <t xml:space="preserve">Bull case | Capital expenditure ($m) | FY2028E
Source: GOOG_3_Statement_Model.xlsx, Assumptions sheet, Upside case row for 'Capital expenditure ($m)'. Mirrored unchanged so this DCF and the 3-statement model share one forecast.</t>
        </r>
      </text>
    </comment>
    <comment ref="I55" authorId="0">
      <text>
        <r>
          <rPr>
            <sz val="10"/>
            <rFont val="Arial"/>
            <family val="2"/>
          </rPr>
          <t xml:space="preserve">Bull case | Effective tax rate | FY2028E
Source: GOOG_3_Statement_Model.xlsx, Assumptions sheet, Upside case row for 'Effective tax rate'. Mirrored unchanged so this DCF and the 3-statement model share one forecast.</t>
        </r>
      </text>
    </comment>
    <comment ref="J22" authorId="0">
      <text>
        <r>
          <rPr>
            <sz val="10"/>
            <rFont val="Arial"/>
            <family val="2"/>
          </rPr>
          <t xml:space="preserve">Bear case | Revenue growth | FY2029E
Source: GOOG_3_Statement_Model.xlsx, Assumptions sheet, Downside case row for 'Revenue growth'. Mirrored unchanged so this DCF and the 3-statement model share one forecast.</t>
        </r>
      </text>
    </comment>
    <comment ref="J23" authorId="0">
      <text>
        <r>
          <rPr>
            <sz val="10"/>
            <rFont val="Arial"/>
            <family val="2"/>
          </rPr>
          <t xml:space="preserve">Bear case | Cost of revenues ex-D&amp;A (% of revenue) | FY2029E
Source: GOOG_3_Statement_Model.xlsx, Assumptions sheet, Downside case row for 'Cost of revenues ex-D&amp;A (% of revenue)'. Mirrored unchanged so this DCF and the 3-statement model share one forecast.</t>
        </r>
      </text>
    </comment>
    <comment ref="J24" authorId="0">
      <text>
        <r>
          <rPr>
            <sz val="10"/>
            <rFont val="Arial"/>
            <family val="2"/>
          </rPr>
          <t xml:space="preserve">Bear case | R&amp;D ex-D&amp;A (% of revenue) | FY2029E
Source: GOOG_3_Statement_Model.xlsx, Assumptions sheet, Downside case row for 'R&amp;D ex-D&amp;A (% of revenue)'. Mirrored unchanged so this DCF and the 3-statement model share one forecast.</t>
        </r>
      </text>
    </comment>
    <comment ref="J25" authorId="0">
      <text>
        <r>
          <rPr>
            <sz val="10"/>
            <rFont val="Arial"/>
            <family val="2"/>
          </rPr>
          <t xml:space="preserve">Bear case | Sales &amp; marketing (% of revenue) | FY2029E
Source: GOOG_3_Statement_Model.xlsx, Assumptions sheet, Downside case row for 'Sales &amp; marketing (% of revenue)'. Mirrored unchanged so this DCF and the 3-statement model share one forecast.</t>
        </r>
      </text>
    </comment>
    <comment ref="J26" authorId="0">
      <text>
        <r>
          <rPr>
            <sz val="10"/>
            <rFont val="Arial"/>
            <family val="2"/>
          </rPr>
          <t xml:space="preserve">Bear case | General &amp; administrative (% of revenue) | FY2029E
Source: GOOG_3_Statement_Model.xlsx, Assumptions sheet, Downside case row for 'General &amp; administrative (% of revenue)'. Mirrored unchanged so this DCF and the 3-statement model share one forecast.</t>
        </r>
      </text>
    </comment>
    <comment ref="J27" authorId="0">
      <text>
        <r>
          <rPr>
            <sz val="10"/>
            <rFont val="Arial"/>
            <family val="2"/>
          </rPr>
          <t xml:space="preserve">Bear case | Depreciation (% of beginning net PP&amp;E) | FY2029E
Source: GOOG_3_Statement_Model.xlsx, Assumptions sheet, Downside case row for 'Depreciation (% of beginning net PP&amp;E)'. Mirrored unchanged so this DCF and the 3-statement model share one forecast.</t>
        </r>
      </text>
    </comment>
    <comment ref="J28" authorId="0">
      <text>
        <r>
          <rPr>
            <sz val="10"/>
            <rFont val="Arial"/>
            <family val="2"/>
          </rPr>
          <t xml:space="preserve">Bear case | Capital expenditure ($m) | FY2029E
Source: GOOG_3_Statement_Model.xlsx, Assumptions sheet, Downside case row for 'Capital expenditure ($m)'. Mirrored unchanged so this DCF and the 3-statement model share one forecast.</t>
        </r>
      </text>
    </comment>
    <comment ref="J29" authorId="0">
      <text>
        <r>
          <rPr>
            <sz val="10"/>
            <rFont val="Arial"/>
            <family val="2"/>
          </rPr>
          <t xml:space="preserve">Bear case | Effective tax rate | FY2029E
Source: GOOG_3_Statement_Model.xlsx, Assumptions sheet, Downside case row for 'Effective tax rate'. Mirrored unchanged so this DCF and the 3-statement model share one forecast.</t>
        </r>
      </text>
    </comment>
    <comment ref="J35" authorId="0">
      <text>
        <r>
          <rPr>
            <sz val="10"/>
            <rFont val="Arial"/>
            <family val="2"/>
          </rPr>
          <t xml:space="preserve">Base case | Revenue growth | FY2029E
Source: GOOG_3_Statement_Model.xlsx, Assumptions sheet, Base case row for 'Revenue growth'. Mirrored unchanged so this DCF and the 3-statement model share one forecast.</t>
        </r>
      </text>
    </comment>
    <comment ref="J36" authorId="0">
      <text>
        <r>
          <rPr>
            <sz val="10"/>
            <rFont val="Arial"/>
            <family val="2"/>
          </rPr>
          <t xml:space="preserve">Base case | Cost of revenues ex-D&amp;A (% of revenue) | FY2029E
Source: GOOG_3_Statement_Model.xlsx, Assumptions sheet, Base case row for 'Cost of revenues ex-D&amp;A (% of revenue)'. Mirrored unchanged so this DCF and the 3-statement model share one forecast.</t>
        </r>
      </text>
    </comment>
    <comment ref="J37" authorId="0">
      <text>
        <r>
          <rPr>
            <sz val="10"/>
            <rFont val="Arial"/>
            <family val="2"/>
          </rPr>
          <t xml:space="preserve">Base case | R&amp;D ex-D&amp;A (% of revenue) | FY2029E
Source: GOOG_3_Statement_Model.xlsx, Assumptions sheet, Base case row for 'R&amp;D ex-D&amp;A (% of revenue)'. Mirrored unchanged so this DCF and the 3-statement model share one forecast.</t>
        </r>
      </text>
    </comment>
    <comment ref="J38" authorId="0">
      <text>
        <r>
          <rPr>
            <sz val="10"/>
            <rFont val="Arial"/>
            <family val="2"/>
          </rPr>
          <t xml:space="preserve">Base case | Sales &amp; marketing (% of revenue) | FY2029E
Source: GOOG_3_Statement_Model.xlsx, Assumptions sheet, Base case row for 'Sales &amp; marketing (% of revenue)'. Mirrored unchanged so this DCF and the 3-statement model share one forecast.</t>
        </r>
      </text>
    </comment>
    <comment ref="J39" authorId="0">
      <text>
        <r>
          <rPr>
            <sz val="10"/>
            <rFont val="Arial"/>
            <family val="2"/>
          </rPr>
          <t xml:space="preserve">Base case | General &amp; administrative (% of revenue) | FY2029E
Source: GOOG_3_Statement_Model.xlsx, Assumptions sheet, Base case row for 'General &amp; administrative (% of revenue)'. Mirrored unchanged so this DCF and the 3-statement model share one forecast.</t>
        </r>
      </text>
    </comment>
    <comment ref="J40" authorId="0">
      <text>
        <r>
          <rPr>
            <sz val="10"/>
            <rFont val="Arial"/>
            <family val="2"/>
          </rPr>
          <t xml:space="preserve">Base case | Depreciation (% of beginning net PP&amp;E) | FY2029E
Source: GOOG_3_Statement_Model.xlsx, Assumptions sheet, Base case row for 'Depreciation (% of beginning net PP&amp;E)'. Mirrored unchanged so this DCF and the 3-statement model share one forecast.</t>
        </r>
      </text>
    </comment>
    <comment ref="J41" authorId="0">
      <text>
        <r>
          <rPr>
            <sz val="10"/>
            <rFont val="Arial"/>
            <family val="2"/>
          </rPr>
          <t xml:space="preserve">Base case | Capital expenditure ($m) | FY2029E
Source: GOOG_3_Statement_Model.xlsx, Assumptions sheet, Base case row for 'Capital expenditure ($m)'. Mirrored unchanged so this DCF and the 3-statement model share one forecast.</t>
        </r>
      </text>
    </comment>
    <comment ref="J42" authorId="0">
      <text>
        <r>
          <rPr>
            <sz val="10"/>
            <rFont val="Arial"/>
            <family val="2"/>
          </rPr>
          <t xml:space="preserve">Base case | Effective tax rate | FY2029E
Source: GOOG_3_Statement_Model.xlsx, Assumptions sheet, Base case row for 'Effective tax rate'. Mirrored unchanged so this DCF and the 3-statement model share one forecast.</t>
        </r>
      </text>
    </comment>
    <comment ref="J48" authorId="0">
      <text>
        <r>
          <rPr>
            <sz val="10"/>
            <rFont val="Arial"/>
            <family val="2"/>
          </rPr>
          <t xml:space="preserve">Bull case | Revenue growth | FY2029E
Source: GOOG_3_Statement_Model.xlsx, Assumptions sheet, Upside case row for 'Revenue growth'. Mirrored unchanged so this DCF and the 3-statement model share one forecast.</t>
        </r>
      </text>
    </comment>
    <comment ref="J49" authorId="0">
      <text>
        <r>
          <rPr>
            <sz val="10"/>
            <rFont val="Arial"/>
            <family val="2"/>
          </rPr>
          <t xml:space="preserve">Bull case | Cost of revenues ex-D&amp;A (% of revenue) | FY2029E
Source: GOOG_3_Statement_Model.xlsx, Assumptions sheet, Upside case row for 'Cost of revenues ex-D&amp;A (% of revenue)'. Mirrored unchanged so this DCF and the 3-statement model share one forecast.</t>
        </r>
      </text>
    </comment>
    <comment ref="J50" authorId="0">
      <text>
        <r>
          <rPr>
            <sz val="10"/>
            <rFont val="Arial"/>
            <family val="2"/>
          </rPr>
          <t xml:space="preserve">Bull case | R&amp;D ex-D&amp;A (% of revenue) | FY2029E
Source: GOOG_3_Statement_Model.xlsx, Assumptions sheet, Upside case row for 'R&amp;D ex-D&amp;A (% of revenue)'. Mirrored unchanged so this DCF and the 3-statement model share one forecast.</t>
        </r>
      </text>
    </comment>
    <comment ref="J51" authorId="0">
      <text>
        <r>
          <rPr>
            <sz val="10"/>
            <rFont val="Arial"/>
            <family val="2"/>
          </rPr>
          <t xml:space="preserve">Bull case | Sales &amp; marketing (% of revenue) | FY2029E
Source: GOOG_3_Statement_Model.xlsx, Assumptions sheet, Upside case row for 'Sales &amp; marketing (% of revenue)'. Mirrored unchanged so this DCF and the 3-statement model share one forecast.</t>
        </r>
      </text>
    </comment>
    <comment ref="J52" authorId="0">
      <text>
        <r>
          <rPr>
            <sz val="10"/>
            <rFont val="Arial"/>
            <family val="2"/>
          </rPr>
          <t xml:space="preserve">Bull case | General &amp; administrative (% of revenue) | FY2029E
Source: GOOG_3_Statement_Model.xlsx, Assumptions sheet, Upside case row for 'General &amp; administrative (% of revenue)'. Mirrored unchanged so this DCF and the 3-statement model share one forecast.</t>
        </r>
      </text>
    </comment>
    <comment ref="J53" authorId="0">
      <text>
        <r>
          <rPr>
            <sz val="10"/>
            <rFont val="Arial"/>
            <family val="2"/>
          </rPr>
          <t xml:space="preserve">Bull case | Depreciation (% of beginning net PP&amp;E) | FY2029E
Source: GOOG_3_Statement_Model.xlsx, Assumptions sheet, Upside case row for 'Depreciation (% of beginning net PP&amp;E)'. Mirrored unchanged so this DCF and the 3-statement model share one forecast.</t>
        </r>
      </text>
    </comment>
    <comment ref="J54" authorId="0">
      <text>
        <r>
          <rPr>
            <sz val="10"/>
            <rFont val="Arial"/>
            <family val="2"/>
          </rPr>
          <t xml:space="preserve">Bull case | Capital expenditure ($m) | FY2029E
Source: GOOG_3_Statement_Model.xlsx, Assumptions sheet, Upside case row for 'Capital expenditure ($m)'. Mirrored unchanged so this DCF and the 3-statement model share one forecast.</t>
        </r>
      </text>
    </comment>
    <comment ref="J55" authorId="0">
      <text>
        <r>
          <rPr>
            <sz val="10"/>
            <rFont val="Arial"/>
            <family val="2"/>
          </rPr>
          <t xml:space="preserve">Bull case | Effective tax rate | FY2029E
Source: GOOG_3_Statement_Model.xlsx, Assumptions sheet, Upside case row for 'Effective tax rate'. Mirrored unchanged so this DCF and the 3-statement model share one forecast.</t>
        </r>
      </text>
    </comment>
    <comment ref="K22" authorId="0">
      <text>
        <r>
          <rPr>
            <sz val="10"/>
            <rFont val="Arial"/>
            <family val="2"/>
          </rPr>
          <t xml:space="preserve">Bear case | Revenue growth | FY2030E
Source: GOOG_3_Statement_Model.xlsx, Assumptions sheet, Downside case row for 'Revenue growth'. Mirrored unchanged so this DCF and the 3-statement model share one forecast.</t>
        </r>
      </text>
    </comment>
    <comment ref="K23" authorId="0">
      <text>
        <r>
          <rPr>
            <sz val="10"/>
            <rFont val="Arial"/>
            <family val="2"/>
          </rPr>
          <t xml:space="preserve">Bear case | Cost of revenues ex-D&amp;A (% of revenue) | FY2030E
Source: GOOG_3_Statement_Model.xlsx, Assumptions sheet, Downside case row for 'Cost of revenues ex-D&amp;A (% of revenue)'. Mirrored unchanged so this DCF and the 3-statement model share one forecast.</t>
        </r>
      </text>
    </comment>
    <comment ref="K24" authorId="0">
      <text>
        <r>
          <rPr>
            <sz val="10"/>
            <rFont val="Arial"/>
            <family val="2"/>
          </rPr>
          <t xml:space="preserve">Bear case | R&amp;D ex-D&amp;A (% of revenue) | FY2030E
Source: GOOG_3_Statement_Model.xlsx, Assumptions sheet, Downside case row for 'R&amp;D ex-D&amp;A (% of revenue)'. Mirrored unchanged so this DCF and the 3-statement model share one forecast.</t>
        </r>
      </text>
    </comment>
    <comment ref="K25" authorId="0">
      <text>
        <r>
          <rPr>
            <sz val="10"/>
            <rFont val="Arial"/>
            <family val="2"/>
          </rPr>
          <t xml:space="preserve">Bear case | Sales &amp; marketing (% of revenue) | FY2030E
Source: GOOG_3_Statement_Model.xlsx, Assumptions sheet, Downside case row for 'Sales &amp; marketing (% of revenue)'. Mirrored unchanged so this DCF and the 3-statement model share one forecast.</t>
        </r>
      </text>
    </comment>
    <comment ref="K26" authorId="0">
      <text>
        <r>
          <rPr>
            <sz val="10"/>
            <rFont val="Arial"/>
            <family val="2"/>
          </rPr>
          <t xml:space="preserve">Bear case | General &amp; administrative (% of revenue) | FY2030E
Source: GOOG_3_Statement_Model.xlsx, Assumptions sheet, Downside case row for 'General &amp; administrative (% of revenue)'. Mirrored unchanged so this DCF and the 3-statement model share one forecast.</t>
        </r>
      </text>
    </comment>
    <comment ref="K27" authorId="0">
      <text>
        <r>
          <rPr>
            <sz val="10"/>
            <rFont val="Arial"/>
            <family val="2"/>
          </rPr>
          <t xml:space="preserve">Bear case | Depreciation (% of beginning net PP&amp;E) | FY2030E
Source: GOOG_3_Statement_Model.xlsx, Assumptions sheet, Downside case row for 'Depreciation (% of beginning net PP&amp;E)'. Mirrored unchanged so this DCF and the 3-statement model share one forecast.</t>
        </r>
      </text>
    </comment>
    <comment ref="K28" authorId="0">
      <text>
        <r>
          <rPr>
            <sz val="10"/>
            <rFont val="Arial"/>
            <family val="2"/>
          </rPr>
          <t xml:space="preserve">Bear case | Capital expenditure ($m) | FY2030E
Source: GOOG_3_Statement_Model.xlsx, Assumptions sheet, Downside case row for 'Capital expenditure ($m)'. Mirrored unchanged so this DCF and the 3-statement model share one forecast.</t>
        </r>
      </text>
    </comment>
    <comment ref="K29" authorId="0">
      <text>
        <r>
          <rPr>
            <sz val="10"/>
            <rFont val="Arial"/>
            <family val="2"/>
          </rPr>
          <t xml:space="preserve">Bear case | Effective tax rate | FY2030E
Source: GOOG_3_Statement_Model.xlsx, Assumptions sheet, Downside case row for 'Effective tax rate'. Mirrored unchanged so this DCF and the 3-statement model share one forecast.</t>
        </r>
      </text>
    </comment>
    <comment ref="K35" authorId="0">
      <text>
        <r>
          <rPr>
            <sz val="10"/>
            <rFont val="Arial"/>
            <family val="2"/>
          </rPr>
          <t xml:space="preserve">Base case | Revenue growth | FY2030E
Source: GOOG_3_Statement_Model.xlsx, Assumptions sheet, Base case row for 'Revenue growth'. Mirrored unchanged so this DCF and the 3-statement model share one forecast.</t>
        </r>
      </text>
    </comment>
    <comment ref="K36" authorId="0">
      <text>
        <r>
          <rPr>
            <sz val="10"/>
            <rFont val="Arial"/>
            <family val="2"/>
          </rPr>
          <t xml:space="preserve">Base case | Cost of revenues ex-D&amp;A (% of revenue) | FY2030E
Source: GOOG_3_Statement_Model.xlsx, Assumptions sheet, Base case row for 'Cost of revenues ex-D&amp;A (% of revenue)'. Mirrored unchanged so this DCF and the 3-statement model share one forecast.</t>
        </r>
      </text>
    </comment>
    <comment ref="K37" authorId="0">
      <text>
        <r>
          <rPr>
            <sz val="10"/>
            <rFont val="Arial"/>
            <family val="2"/>
          </rPr>
          <t xml:space="preserve">Base case | R&amp;D ex-D&amp;A (% of revenue) | FY2030E
Source: GOOG_3_Statement_Model.xlsx, Assumptions sheet, Base case row for 'R&amp;D ex-D&amp;A (% of revenue)'. Mirrored unchanged so this DCF and the 3-statement model share one forecast.</t>
        </r>
      </text>
    </comment>
    <comment ref="K38" authorId="0">
      <text>
        <r>
          <rPr>
            <sz val="10"/>
            <rFont val="Arial"/>
            <family val="2"/>
          </rPr>
          <t xml:space="preserve">Base case | Sales &amp; marketing (% of revenue) | FY2030E
Source: GOOG_3_Statement_Model.xlsx, Assumptions sheet, Base case row for 'Sales &amp; marketing (% of revenue)'. Mirrored unchanged so this DCF and the 3-statement model share one forecast.</t>
        </r>
      </text>
    </comment>
    <comment ref="K39" authorId="0">
      <text>
        <r>
          <rPr>
            <sz val="10"/>
            <rFont val="Arial"/>
            <family val="2"/>
          </rPr>
          <t xml:space="preserve">Base case | General &amp; administrative (% of revenue) | FY2030E
Source: GOOG_3_Statement_Model.xlsx, Assumptions sheet, Base case row for 'General &amp; administrative (% of revenue)'. Mirrored unchanged so this DCF and the 3-statement model share one forecast.</t>
        </r>
      </text>
    </comment>
    <comment ref="K40" authorId="0">
      <text>
        <r>
          <rPr>
            <sz val="10"/>
            <rFont val="Arial"/>
            <family val="2"/>
          </rPr>
          <t xml:space="preserve">Base case | Depreciation (% of beginning net PP&amp;E) | FY2030E
Source: GOOG_3_Statement_Model.xlsx, Assumptions sheet, Base case row for 'Depreciation (% of beginning net PP&amp;E)'. Mirrored unchanged so this DCF and the 3-statement model share one forecast.</t>
        </r>
      </text>
    </comment>
    <comment ref="K41" authorId="0">
      <text>
        <r>
          <rPr>
            <sz val="10"/>
            <rFont val="Arial"/>
            <family val="2"/>
          </rPr>
          <t xml:space="preserve">Base case | Capital expenditure ($m) | FY2030E
Source: GOOG_3_Statement_Model.xlsx, Assumptions sheet, Base case row for 'Capital expenditure ($m)'. Mirrored unchanged so this DCF and the 3-statement model share one forecast.</t>
        </r>
      </text>
    </comment>
    <comment ref="K42" authorId="0">
      <text>
        <r>
          <rPr>
            <sz val="10"/>
            <rFont val="Arial"/>
            <family val="2"/>
          </rPr>
          <t xml:space="preserve">Base case | Effective tax rate | FY2030E
Source: GOOG_3_Statement_Model.xlsx, Assumptions sheet, Base case row for 'Effective tax rate'. Mirrored unchanged so this DCF and the 3-statement model share one forecast.</t>
        </r>
      </text>
    </comment>
    <comment ref="K48" authorId="0">
      <text>
        <r>
          <rPr>
            <sz val="10"/>
            <rFont val="Arial"/>
            <family val="2"/>
          </rPr>
          <t xml:space="preserve">Bull case | Revenue growth | FY2030E
Source: GOOG_3_Statement_Model.xlsx, Assumptions sheet, Upside case row for 'Revenue growth'. Mirrored unchanged so this DCF and the 3-statement model share one forecast.</t>
        </r>
      </text>
    </comment>
    <comment ref="K49" authorId="0">
      <text>
        <r>
          <rPr>
            <sz val="10"/>
            <rFont val="Arial"/>
            <family val="2"/>
          </rPr>
          <t xml:space="preserve">Bull case | Cost of revenues ex-D&amp;A (% of revenue) | FY2030E
Source: GOOG_3_Statement_Model.xlsx, Assumptions sheet, Upside case row for 'Cost of revenues ex-D&amp;A (% of revenue)'. Mirrored unchanged so this DCF and the 3-statement model share one forecast.</t>
        </r>
      </text>
    </comment>
    <comment ref="K50" authorId="0">
      <text>
        <r>
          <rPr>
            <sz val="10"/>
            <rFont val="Arial"/>
            <family val="2"/>
          </rPr>
          <t xml:space="preserve">Bull case | R&amp;D ex-D&amp;A (% of revenue) | FY2030E
Source: GOOG_3_Statement_Model.xlsx, Assumptions sheet, Upside case row for 'R&amp;D ex-D&amp;A (% of revenue)'. Mirrored unchanged so this DCF and the 3-statement model share one forecast.</t>
        </r>
      </text>
    </comment>
    <comment ref="K51" authorId="0">
      <text>
        <r>
          <rPr>
            <sz val="10"/>
            <rFont val="Arial"/>
            <family val="2"/>
          </rPr>
          <t xml:space="preserve">Bull case | Sales &amp; marketing (% of revenue) | FY2030E
Source: GOOG_3_Statement_Model.xlsx, Assumptions sheet, Upside case row for 'Sales &amp; marketing (% of revenue)'. Mirrored unchanged so this DCF and the 3-statement model share one forecast.</t>
        </r>
      </text>
    </comment>
    <comment ref="K52" authorId="0">
      <text>
        <r>
          <rPr>
            <sz val="10"/>
            <rFont val="Arial"/>
            <family val="2"/>
          </rPr>
          <t xml:space="preserve">Bull case | General &amp; administrative (% of revenue) | FY2030E
Source: GOOG_3_Statement_Model.xlsx, Assumptions sheet, Upside case row for 'General &amp; administrative (% of revenue)'. Mirrored unchanged so this DCF and the 3-statement model share one forecast.</t>
        </r>
      </text>
    </comment>
    <comment ref="K53" authorId="0">
      <text>
        <r>
          <rPr>
            <sz val="10"/>
            <rFont val="Arial"/>
            <family val="2"/>
          </rPr>
          <t xml:space="preserve">Bull case | Depreciation (% of beginning net PP&amp;E) | FY2030E
Source: GOOG_3_Statement_Model.xlsx, Assumptions sheet, Upside case row for 'Depreciation (% of beginning net PP&amp;E)'. Mirrored unchanged so this DCF and the 3-statement model share one forecast.</t>
        </r>
      </text>
    </comment>
    <comment ref="K54" authorId="0">
      <text>
        <r>
          <rPr>
            <sz val="10"/>
            <rFont val="Arial"/>
            <family val="2"/>
          </rPr>
          <t xml:space="preserve">Bull case | Capital expenditure ($m) | FY2030E
Source: GOOG_3_Statement_Model.xlsx, Assumptions sheet, Upside case row for 'Capital expenditure ($m)'. Mirrored unchanged so this DCF and the 3-statement model share one forecast.</t>
        </r>
      </text>
    </comment>
    <comment ref="K55" authorId="0">
      <text>
        <r>
          <rPr>
            <sz val="10"/>
            <rFont val="Arial"/>
            <family val="2"/>
          </rPr>
          <t xml:space="preserve">Bull case | Effective tax rate | FY2030E
Source: GOOG_3_Statement_Model.xlsx, Assumptions sheet, Upside case row for 'Effective tax rate'. Mirrored unchanged so this DCF and the 3-statement model share one forecast.</t>
        </r>
      </text>
    </comment>
    <comment ref="L22" authorId="0">
      <text>
        <r>
          <rPr>
            <sz val="10"/>
            <rFont val="Arial"/>
            <family val="2"/>
          </rPr>
          <t xml:space="preserve">Bear case | Revenue growth | FY2031E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L23" authorId="0">
      <text>
        <r>
          <rPr>
            <sz val="10"/>
            <rFont val="Arial"/>
            <family val="2"/>
          </rPr>
          <t xml:space="preserve">Bear case | Cost of revenues ex-D&amp;A (% of revenue) | FY2031E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L24" authorId="0">
      <text>
        <r>
          <rPr>
            <sz val="10"/>
            <rFont val="Arial"/>
            <family val="2"/>
          </rPr>
          <t xml:space="preserve">Bear case | R&amp;D ex-D&amp;A (% of revenue) | FY2031E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L25" authorId="0">
      <text>
        <r>
          <rPr>
            <sz val="10"/>
            <rFont val="Arial"/>
            <family val="2"/>
          </rPr>
          <t xml:space="preserve">Bear case | Sales &amp; marketing (% of revenue) | FY2031E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L26" authorId="0">
      <text>
        <r>
          <rPr>
            <sz val="10"/>
            <rFont val="Arial"/>
            <family val="2"/>
          </rPr>
          <t xml:space="preserve">Bear case | General &amp; administrative (% of revenue) | FY2031E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L27" authorId="0">
      <text>
        <r>
          <rPr>
            <sz val="10"/>
            <rFont val="Arial"/>
            <family val="2"/>
          </rPr>
          <t xml:space="preserve">Bear case | Depreciation (% of beginning net PP&amp;E) | FY2031E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L28" authorId="0">
      <text>
        <r>
          <rPr>
            <sz val="10"/>
            <rFont val="Arial"/>
            <family val="2"/>
          </rPr>
          <t xml:space="preserve">Bear case | Capital expenditure ($m) | FY2031E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L29" authorId="0">
      <text>
        <r>
          <rPr>
            <sz val="10"/>
            <rFont val="Arial"/>
            <family val="2"/>
          </rPr>
          <t xml:space="preserve">Bear case | Effective tax rate | FY2031E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L35" authorId="0">
      <text>
        <r>
          <rPr>
            <sz val="10"/>
            <rFont val="Arial"/>
            <family val="2"/>
          </rPr>
          <t xml:space="preserve">Base case | Revenue growth | FY2031E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L36" authorId="0">
      <text>
        <r>
          <rPr>
            <sz val="10"/>
            <rFont val="Arial"/>
            <family val="2"/>
          </rPr>
          <t xml:space="preserve">Base case | Cost of revenues ex-D&amp;A (% of revenue) | FY2031E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L37" authorId="0">
      <text>
        <r>
          <rPr>
            <sz val="10"/>
            <rFont val="Arial"/>
            <family val="2"/>
          </rPr>
          <t xml:space="preserve">Base case | R&amp;D ex-D&amp;A (% of revenue) | FY2031E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L38" authorId="0">
      <text>
        <r>
          <rPr>
            <sz val="10"/>
            <rFont val="Arial"/>
            <family val="2"/>
          </rPr>
          <t xml:space="preserve">Base case | Sales &amp; marketing (% of revenue) | FY2031E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L39" authorId="0">
      <text>
        <r>
          <rPr>
            <sz val="10"/>
            <rFont val="Arial"/>
            <family val="2"/>
          </rPr>
          <t xml:space="preserve">Base case | General &amp; administrative (% of revenue) | FY2031E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L40" authorId="0">
      <text>
        <r>
          <rPr>
            <sz val="10"/>
            <rFont val="Arial"/>
            <family val="2"/>
          </rPr>
          <t xml:space="preserve">Base case | Depreciation (% of beginning net PP&amp;E) | FY2031E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L41" authorId="0">
      <text>
        <r>
          <rPr>
            <sz val="10"/>
            <rFont val="Arial"/>
            <family val="2"/>
          </rPr>
          <t xml:space="preserve">Base case | Capital expenditure ($m) | FY2031E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L42" authorId="0">
      <text>
        <r>
          <rPr>
            <sz val="10"/>
            <rFont val="Arial"/>
            <family val="2"/>
          </rPr>
          <t xml:space="preserve">Base case | Effective tax rate | FY2031E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L48" authorId="0">
      <text>
        <r>
          <rPr>
            <sz val="10"/>
            <rFont val="Arial"/>
            <family val="2"/>
          </rPr>
          <t xml:space="preserve">Bull case | Revenue growth | FY2031E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L49" authorId="0">
      <text>
        <r>
          <rPr>
            <sz val="10"/>
            <rFont val="Arial"/>
            <family val="2"/>
          </rPr>
          <t xml:space="preserve">Bull case | Cost of revenues ex-D&amp;A (% of revenue) | FY2031E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L50" authorId="0">
      <text>
        <r>
          <rPr>
            <sz val="10"/>
            <rFont val="Arial"/>
            <family val="2"/>
          </rPr>
          <t xml:space="preserve">Bull case | R&amp;D ex-D&amp;A (% of revenue) | FY2031E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L51" authorId="0">
      <text>
        <r>
          <rPr>
            <sz val="10"/>
            <rFont val="Arial"/>
            <family val="2"/>
          </rPr>
          <t xml:space="preserve">Bull case | Sales &amp; marketing (% of revenue) | FY2031E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L52" authorId="0">
      <text>
        <r>
          <rPr>
            <sz val="10"/>
            <rFont val="Arial"/>
            <family val="2"/>
          </rPr>
          <t xml:space="preserve">Bull case | General &amp; administrative (% of revenue) | FY2031E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L53" authorId="0">
      <text>
        <r>
          <rPr>
            <sz val="10"/>
            <rFont val="Arial"/>
            <family val="2"/>
          </rPr>
          <t xml:space="preserve">Bull case | Depreciation (% of beginning net PP&amp;E) | FY2031E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L54" authorId="0">
      <text>
        <r>
          <rPr>
            <sz val="10"/>
            <rFont val="Arial"/>
            <family val="2"/>
          </rPr>
          <t xml:space="preserve">Bull case | Capital expenditure ($m) | FY2031E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L55" authorId="0">
      <text>
        <r>
          <rPr>
            <sz val="10"/>
            <rFont val="Arial"/>
            <family val="2"/>
          </rPr>
          <t xml:space="preserve">Bull case | Effective tax rate | FY2031E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M22" authorId="0">
      <text>
        <r>
          <rPr>
            <sz val="10"/>
            <rFont val="Arial"/>
            <family val="2"/>
          </rPr>
          <t xml:space="preserve">Bear case | Revenue growth | FY2032E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M23" authorId="0">
      <text>
        <r>
          <rPr>
            <sz val="10"/>
            <rFont val="Arial"/>
            <family val="2"/>
          </rPr>
          <t xml:space="preserve">Bear case | Cost of revenues ex-D&amp;A (% of revenue) | FY2032E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M24" authorId="0">
      <text>
        <r>
          <rPr>
            <sz val="10"/>
            <rFont val="Arial"/>
            <family val="2"/>
          </rPr>
          <t xml:space="preserve">Bear case | R&amp;D ex-D&amp;A (% of revenue) | FY2032E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M25" authorId="0">
      <text>
        <r>
          <rPr>
            <sz val="10"/>
            <rFont val="Arial"/>
            <family val="2"/>
          </rPr>
          <t xml:space="preserve">Bear case | Sales &amp; marketing (% of revenue) | FY2032E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M26" authorId="0">
      <text>
        <r>
          <rPr>
            <sz val="10"/>
            <rFont val="Arial"/>
            <family val="2"/>
          </rPr>
          <t xml:space="preserve">Bear case | General &amp; administrative (% of revenue) | FY2032E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M27" authorId="0">
      <text>
        <r>
          <rPr>
            <sz val="10"/>
            <rFont val="Arial"/>
            <family val="2"/>
          </rPr>
          <t xml:space="preserve">Bear case | Depreciation (% of beginning net PP&amp;E) | FY2032E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M28" authorId="0">
      <text>
        <r>
          <rPr>
            <sz val="10"/>
            <rFont val="Arial"/>
            <family val="2"/>
          </rPr>
          <t xml:space="preserve">Bear case | Capital expenditure ($m) | FY2032E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M29" authorId="0">
      <text>
        <r>
          <rPr>
            <sz val="10"/>
            <rFont val="Arial"/>
            <family val="2"/>
          </rPr>
          <t xml:space="preserve">Bear case | Effective tax rate | FY2032E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M35" authorId="0">
      <text>
        <r>
          <rPr>
            <sz val="10"/>
            <rFont val="Arial"/>
            <family val="2"/>
          </rPr>
          <t xml:space="preserve">Base case | Revenue growth | FY2032E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M36" authorId="0">
      <text>
        <r>
          <rPr>
            <sz val="10"/>
            <rFont val="Arial"/>
            <family val="2"/>
          </rPr>
          <t xml:space="preserve">Base case | Cost of revenues ex-D&amp;A (% of revenue) | FY2032E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M37" authorId="0">
      <text>
        <r>
          <rPr>
            <sz val="10"/>
            <rFont val="Arial"/>
            <family val="2"/>
          </rPr>
          <t xml:space="preserve">Base case | R&amp;D ex-D&amp;A (% of revenue) | FY2032E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M38" authorId="0">
      <text>
        <r>
          <rPr>
            <sz val="10"/>
            <rFont val="Arial"/>
            <family val="2"/>
          </rPr>
          <t xml:space="preserve">Base case | Sales &amp; marketing (% of revenue) | FY2032E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M39" authorId="0">
      <text>
        <r>
          <rPr>
            <sz val="10"/>
            <rFont val="Arial"/>
            <family val="2"/>
          </rPr>
          <t xml:space="preserve">Base case | General &amp; administrative (% of revenue) | FY2032E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M40" authorId="0">
      <text>
        <r>
          <rPr>
            <sz val="10"/>
            <rFont val="Arial"/>
            <family val="2"/>
          </rPr>
          <t xml:space="preserve">Base case | Depreciation (% of beginning net PP&amp;E) | FY2032E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M41" authorId="0">
      <text>
        <r>
          <rPr>
            <sz val="10"/>
            <rFont val="Arial"/>
            <family val="2"/>
          </rPr>
          <t xml:space="preserve">Base case | Capital expenditure ($m) | FY2032E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M42" authorId="0">
      <text>
        <r>
          <rPr>
            <sz val="10"/>
            <rFont val="Arial"/>
            <family val="2"/>
          </rPr>
          <t xml:space="preserve">Base case | Effective tax rate | FY2032E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M48" authorId="0">
      <text>
        <r>
          <rPr>
            <sz val="10"/>
            <rFont val="Arial"/>
            <family val="2"/>
          </rPr>
          <t xml:space="preserve">Bull case | Revenue growth | FY2032E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M49" authorId="0">
      <text>
        <r>
          <rPr>
            <sz val="10"/>
            <rFont val="Arial"/>
            <family val="2"/>
          </rPr>
          <t xml:space="preserve">Bull case | Cost of revenues ex-D&amp;A (% of revenue) | FY2032E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M50" authorId="0">
      <text>
        <r>
          <rPr>
            <sz val="10"/>
            <rFont val="Arial"/>
            <family val="2"/>
          </rPr>
          <t xml:space="preserve">Bull case | R&amp;D ex-D&amp;A (% of revenue) | FY2032E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M51" authorId="0">
      <text>
        <r>
          <rPr>
            <sz val="10"/>
            <rFont val="Arial"/>
            <family val="2"/>
          </rPr>
          <t xml:space="preserve">Bull case | Sales &amp; marketing (% of revenue) | FY2032E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M52" authorId="0">
      <text>
        <r>
          <rPr>
            <sz val="10"/>
            <rFont val="Arial"/>
            <family val="2"/>
          </rPr>
          <t xml:space="preserve">Bull case | General &amp; administrative (% of revenue) | FY2032E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M53" authorId="0">
      <text>
        <r>
          <rPr>
            <sz val="10"/>
            <rFont val="Arial"/>
            <family val="2"/>
          </rPr>
          <t xml:space="preserve">Bull case | Depreciation (% of beginning net PP&amp;E) | FY2032E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M54" authorId="0">
      <text>
        <r>
          <rPr>
            <sz val="10"/>
            <rFont val="Arial"/>
            <family val="2"/>
          </rPr>
          <t xml:space="preserve">Bull case | Capital expenditure ($m) | FY2032E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M55" authorId="0">
      <text>
        <r>
          <rPr>
            <sz val="10"/>
            <rFont val="Arial"/>
            <family val="2"/>
          </rPr>
          <t xml:space="preserve">Bull case | Effective tax rate | FY2032E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N22" authorId="0">
      <text>
        <r>
          <rPr>
            <sz val="10"/>
            <rFont val="Arial"/>
            <family val="2"/>
          </rPr>
          <t xml:space="preserve">Bear case | Revenue growth | FY2033E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N23" authorId="0">
      <text>
        <r>
          <rPr>
            <sz val="10"/>
            <rFont val="Arial"/>
            <family val="2"/>
          </rPr>
          <t xml:space="preserve">Bear case | Cost of revenues ex-D&amp;A (% of revenue) | FY2033E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N24" authorId="0">
      <text>
        <r>
          <rPr>
            <sz val="10"/>
            <rFont val="Arial"/>
            <family val="2"/>
          </rPr>
          <t xml:space="preserve">Bear case | R&amp;D ex-D&amp;A (% of revenue) | FY2033E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N25" authorId="0">
      <text>
        <r>
          <rPr>
            <sz val="10"/>
            <rFont val="Arial"/>
            <family val="2"/>
          </rPr>
          <t xml:space="preserve">Bear case | Sales &amp; marketing (% of revenue) | FY2033E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N26" authorId="0">
      <text>
        <r>
          <rPr>
            <sz val="10"/>
            <rFont val="Arial"/>
            <family val="2"/>
          </rPr>
          <t xml:space="preserve">Bear case | General &amp; administrative (% of revenue) | FY2033E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N27" authorId="0">
      <text>
        <r>
          <rPr>
            <sz val="10"/>
            <rFont val="Arial"/>
            <family val="2"/>
          </rPr>
          <t xml:space="preserve">Bear case | Depreciation (% of beginning net PP&amp;E) | FY2033E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N28" authorId="0">
      <text>
        <r>
          <rPr>
            <sz val="10"/>
            <rFont val="Arial"/>
            <family val="2"/>
          </rPr>
          <t xml:space="preserve">Bear case | Capital expenditure ($m) | FY2033E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N29" authorId="0">
      <text>
        <r>
          <rPr>
            <sz val="10"/>
            <rFont val="Arial"/>
            <family val="2"/>
          </rPr>
          <t xml:space="preserve">Bear case | Effective tax rate | FY2033E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N35" authorId="0">
      <text>
        <r>
          <rPr>
            <sz val="10"/>
            <rFont val="Arial"/>
            <family val="2"/>
          </rPr>
          <t xml:space="preserve">Base case | Revenue growth | FY2033E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N36" authorId="0">
      <text>
        <r>
          <rPr>
            <sz val="10"/>
            <rFont val="Arial"/>
            <family val="2"/>
          </rPr>
          <t xml:space="preserve">Base case | Cost of revenues ex-D&amp;A (% of revenue) | FY2033E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N37" authorId="0">
      <text>
        <r>
          <rPr>
            <sz val="10"/>
            <rFont val="Arial"/>
            <family val="2"/>
          </rPr>
          <t xml:space="preserve">Base case | R&amp;D ex-D&amp;A (% of revenue) | FY2033E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N38" authorId="0">
      <text>
        <r>
          <rPr>
            <sz val="10"/>
            <rFont val="Arial"/>
            <family val="2"/>
          </rPr>
          <t xml:space="preserve">Base case | Sales &amp; marketing (% of revenue) | FY2033E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N39" authorId="0">
      <text>
        <r>
          <rPr>
            <sz val="10"/>
            <rFont val="Arial"/>
            <family val="2"/>
          </rPr>
          <t xml:space="preserve">Base case | General &amp; administrative (% of revenue) | FY2033E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N40" authorId="0">
      <text>
        <r>
          <rPr>
            <sz val="10"/>
            <rFont val="Arial"/>
            <family val="2"/>
          </rPr>
          <t xml:space="preserve">Base case | Depreciation (% of beginning net PP&amp;E) | FY2033E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N41" authorId="0">
      <text>
        <r>
          <rPr>
            <sz val="10"/>
            <rFont val="Arial"/>
            <family val="2"/>
          </rPr>
          <t xml:space="preserve">Base case | Capital expenditure ($m) | FY2033E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N42" authorId="0">
      <text>
        <r>
          <rPr>
            <sz val="10"/>
            <rFont val="Arial"/>
            <family val="2"/>
          </rPr>
          <t xml:space="preserve">Base case | Effective tax rate | FY2033E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N48" authorId="0">
      <text>
        <r>
          <rPr>
            <sz val="10"/>
            <rFont val="Arial"/>
            <family val="2"/>
          </rPr>
          <t xml:space="preserve">Bull case | Revenue growth | FY2033E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N49" authorId="0">
      <text>
        <r>
          <rPr>
            <sz val="10"/>
            <rFont val="Arial"/>
            <family val="2"/>
          </rPr>
          <t xml:space="preserve">Bull case | Cost of revenues ex-D&amp;A (% of revenue) | FY2033E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N50" authorId="0">
      <text>
        <r>
          <rPr>
            <sz val="10"/>
            <rFont val="Arial"/>
            <family val="2"/>
          </rPr>
          <t xml:space="preserve">Bull case | R&amp;D ex-D&amp;A (% of revenue) | FY2033E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N51" authorId="0">
      <text>
        <r>
          <rPr>
            <sz val="10"/>
            <rFont val="Arial"/>
            <family val="2"/>
          </rPr>
          <t xml:space="preserve">Bull case | Sales &amp; marketing (% of revenue) | FY2033E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N52" authorId="0">
      <text>
        <r>
          <rPr>
            <sz val="10"/>
            <rFont val="Arial"/>
            <family val="2"/>
          </rPr>
          <t xml:space="preserve">Bull case | General &amp; administrative (% of revenue) | FY2033E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N53" authorId="0">
      <text>
        <r>
          <rPr>
            <sz val="10"/>
            <rFont val="Arial"/>
            <family val="2"/>
          </rPr>
          <t xml:space="preserve">Bull case | Depreciation (% of beginning net PP&amp;E) | FY2033E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N54" authorId="0">
      <text>
        <r>
          <rPr>
            <sz val="10"/>
            <rFont val="Arial"/>
            <family val="2"/>
          </rPr>
          <t xml:space="preserve">Bull case | Capital expenditure ($m) | FY2033E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N55" authorId="0">
      <text>
        <r>
          <rPr>
            <sz val="10"/>
            <rFont val="Arial"/>
            <family val="2"/>
          </rPr>
          <t xml:space="preserve">Bull case | Effective tax rate | FY2033E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O22" authorId="0">
      <text>
        <r>
          <rPr>
            <sz val="10"/>
            <rFont val="Arial"/>
            <family val="2"/>
          </rPr>
          <t xml:space="preserve">Bear case | Revenue growth | FY2034E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O23" authorId="0">
      <text>
        <r>
          <rPr>
            <sz val="10"/>
            <rFont val="Arial"/>
            <family val="2"/>
          </rPr>
          <t xml:space="preserve">Bear case | Cost of revenues ex-D&amp;A (% of revenue) | FY2034E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O24" authorId="0">
      <text>
        <r>
          <rPr>
            <sz val="10"/>
            <rFont val="Arial"/>
            <family val="2"/>
          </rPr>
          <t xml:space="preserve">Bear case | R&amp;D ex-D&amp;A (% of revenue) | FY2034E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O25" authorId="0">
      <text>
        <r>
          <rPr>
            <sz val="10"/>
            <rFont val="Arial"/>
            <family val="2"/>
          </rPr>
          <t xml:space="preserve">Bear case | Sales &amp; marketing (% of revenue) | FY2034E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O26" authorId="0">
      <text>
        <r>
          <rPr>
            <sz val="10"/>
            <rFont val="Arial"/>
            <family val="2"/>
          </rPr>
          <t xml:space="preserve">Bear case | General &amp; administrative (% of revenue) | FY2034E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O27" authorId="0">
      <text>
        <r>
          <rPr>
            <sz val="10"/>
            <rFont val="Arial"/>
            <family val="2"/>
          </rPr>
          <t xml:space="preserve">Bear case | Depreciation (% of beginning net PP&amp;E) | FY2034E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O28" authorId="0">
      <text>
        <r>
          <rPr>
            <sz val="10"/>
            <rFont val="Arial"/>
            <family val="2"/>
          </rPr>
          <t xml:space="preserve">Bear case | Capital expenditure ($m) | FY2034E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O29" authorId="0">
      <text>
        <r>
          <rPr>
            <sz val="10"/>
            <rFont val="Arial"/>
            <family val="2"/>
          </rPr>
          <t xml:space="preserve">Bear case | Effective tax rate | FY2034E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O35" authorId="0">
      <text>
        <r>
          <rPr>
            <sz val="10"/>
            <rFont val="Arial"/>
            <family val="2"/>
          </rPr>
          <t xml:space="preserve">Base case | Revenue growth | FY2034E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O36" authorId="0">
      <text>
        <r>
          <rPr>
            <sz val="10"/>
            <rFont val="Arial"/>
            <family val="2"/>
          </rPr>
          <t xml:space="preserve">Base case | Cost of revenues ex-D&amp;A (% of revenue) | FY2034E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O37" authorId="0">
      <text>
        <r>
          <rPr>
            <sz val="10"/>
            <rFont val="Arial"/>
            <family val="2"/>
          </rPr>
          <t xml:space="preserve">Base case | R&amp;D ex-D&amp;A (% of revenue) | FY2034E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O38" authorId="0">
      <text>
        <r>
          <rPr>
            <sz val="10"/>
            <rFont val="Arial"/>
            <family val="2"/>
          </rPr>
          <t xml:space="preserve">Base case | Sales &amp; marketing (% of revenue) | FY2034E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O39" authorId="0">
      <text>
        <r>
          <rPr>
            <sz val="10"/>
            <rFont val="Arial"/>
            <family val="2"/>
          </rPr>
          <t xml:space="preserve">Base case | General &amp; administrative (% of revenue) | FY2034E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O40" authorId="0">
      <text>
        <r>
          <rPr>
            <sz val="10"/>
            <rFont val="Arial"/>
            <family val="2"/>
          </rPr>
          <t xml:space="preserve">Base case | Depreciation (% of beginning net PP&amp;E) | FY2034E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O41" authorId="0">
      <text>
        <r>
          <rPr>
            <sz val="10"/>
            <rFont val="Arial"/>
            <family val="2"/>
          </rPr>
          <t xml:space="preserve">Base case | Capital expenditure ($m) | FY2034E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O42" authorId="0">
      <text>
        <r>
          <rPr>
            <sz val="10"/>
            <rFont val="Arial"/>
            <family val="2"/>
          </rPr>
          <t xml:space="preserve">Base case | Effective tax rate | FY2034E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O48" authorId="0">
      <text>
        <r>
          <rPr>
            <sz val="10"/>
            <rFont val="Arial"/>
            <family val="2"/>
          </rPr>
          <t xml:space="preserve">Bull case | Revenue growth | FY2034E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O49" authorId="0">
      <text>
        <r>
          <rPr>
            <sz val="10"/>
            <rFont val="Arial"/>
            <family val="2"/>
          </rPr>
          <t xml:space="preserve">Bull case | Cost of revenues ex-D&amp;A (% of revenue) | FY2034E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O50" authorId="0">
      <text>
        <r>
          <rPr>
            <sz val="10"/>
            <rFont val="Arial"/>
            <family val="2"/>
          </rPr>
          <t xml:space="preserve">Bull case | R&amp;D ex-D&amp;A (% of revenue) | FY2034E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O51" authorId="0">
      <text>
        <r>
          <rPr>
            <sz val="10"/>
            <rFont val="Arial"/>
            <family val="2"/>
          </rPr>
          <t xml:space="preserve">Bull case | Sales &amp; marketing (% of revenue) | FY2034E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O52" authorId="0">
      <text>
        <r>
          <rPr>
            <sz val="10"/>
            <rFont val="Arial"/>
            <family val="2"/>
          </rPr>
          <t xml:space="preserve">Bull case | General &amp; administrative (% of revenue) | FY2034E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O53" authorId="0">
      <text>
        <r>
          <rPr>
            <sz val="10"/>
            <rFont val="Arial"/>
            <family val="2"/>
          </rPr>
          <t xml:space="preserve">Bull case | Depreciation (% of beginning net PP&amp;E) | FY2034E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O54" authorId="0">
      <text>
        <r>
          <rPr>
            <sz val="10"/>
            <rFont val="Arial"/>
            <family val="2"/>
          </rPr>
          <t xml:space="preserve">Bull case | Capital expenditure ($m) | FY2034E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O55" authorId="0">
      <text>
        <r>
          <rPr>
            <sz val="10"/>
            <rFont val="Arial"/>
            <family val="2"/>
          </rPr>
          <t xml:space="preserve">Bull case | Effective tax rate | FY2034E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P22" authorId="0">
      <text>
        <r>
          <rPr>
            <sz val="10"/>
            <rFont val="Arial"/>
            <family val="2"/>
          </rPr>
          <t xml:space="preserve">Bear case | Revenue growth | FY2035E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P23" authorId="0">
      <text>
        <r>
          <rPr>
            <sz val="10"/>
            <rFont val="Arial"/>
            <family val="2"/>
          </rPr>
          <t xml:space="preserve">Bear case | Cost of revenues ex-D&amp;A (% of revenue) | FY2035E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P24" authorId="0">
      <text>
        <r>
          <rPr>
            <sz val="10"/>
            <rFont val="Arial"/>
            <family val="2"/>
          </rPr>
          <t xml:space="preserve">Bear case | R&amp;D ex-D&amp;A (% of revenue) | FY2035E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P25" authorId="0">
      <text>
        <r>
          <rPr>
            <sz val="10"/>
            <rFont val="Arial"/>
            <family val="2"/>
          </rPr>
          <t xml:space="preserve">Bear case | Sales &amp; marketing (% of revenue) | FY2035E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P26" authorId="0">
      <text>
        <r>
          <rPr>
            <sz val="10"/>
            <rFont val="Arial"/>
            <family val="2"/>
          </rPr>
          <t xml:space="preserve">Bear case | General &amp; administrative (% of revenue) | FY2035E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P27" authorId="0">
      <text>
        <r>
          <rPr>
            <sz val="10"/>
            <rFont val="Arial"/>
            <family val="2"/>
          </rPr>
          <t xml:space="preserve">Bear case | Depreciation (% of beginning net PP&amp;E) | FY2035E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P28" authorId="0">
      <text>
        <r>
          <rPr>
            <sz val="10"/>
            <rFont val="Arial"/>
            <family val="2"/>
          </rPr>
          <t xml:space="preserve">Bear case | Capital expenditure ($m) | FY2035E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P29" authorId="0">
      <text>
        <r>
          <rPr>
            <sz val="10"/>
            <rFont val="Arial"/>
            <family val="2"/>
          </rPr>
          <t xml:space="preserve">Bear case | Effective tax rate | FY2035E
Source: analyst extension, 8-Sep-2026 (not in the 3-statement model, which stops at FY2030E).
FY2031E-FY2035E extension built for this DCF: demand disappoints, management cuts capex hard and depreciation runs off the existing base; operating cost ratios stabilise at the downside plateau.</t>
        </r>
      </text>
    </comment>
    <comment ref="P35" authorId="0">
      <text>
        <r>
          <rPr>
            <sz val="10"/>
            <rFont val="Arial"/>
            <family val="2"/>
          </rPr>
          <t xml:space="preserve">Base case | Revenue growth | FY2035E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P36" authorId="0">
      <text>
        <r>
          <rPr>
            <sz val="10"/>
            <rFont val="Arial"/>
            <family val="2"/>
          </rPr>
          <t xml:space="preserve">Base case | Cost of revenues ex-D&amp;A (% of revenue) | FY2035E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P37" authorId="0">
      <text>
        <r>
          <rPr>
            <sz val="10"/>
            <rFont val="Arial"/>
            <family val="2"/>
          </rPr>
          <t xml:space="preserve">Base case | R&amp;D ex-D&amp;A (% of revenue) | FY2035E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P38" authorId="0">
      <text>
        <r>
          <rPr>
            <sz val="10"/>
            <rFont val="Arial"/>
            <family val="2"/>
          </rPr>
          <t xml:space="preserve">Base case | Sales &amp; marketing (% of revenue) | FY2035E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P39" authorId="0">
      <text>
        <r>
          <rPr>
            <sz val="10"/>
            <rFont val="Arial"/>
            <family val="2"/>
          </rPr>
          <t xml:space="preserve">Base case | General &amp; administrative (% of revenue) | FY2035E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P40" authorId="0">
      <text>
        <r>
          <rPr>
            <sz val="10"/>
            <rFont val="Arial"/>
            <family val="2"/>
          </rPr>
          <t xml:space="preserve">Base case | Depreciation (% of beginning net PP&amp;E) | FY2035E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P41" authorId="0">
      <text>
        <r>
          <rPr>
            <sz val="10"/>
            <rFont val="Arial"/>
            <family val="2"/>
          </rPr>
          <t xml:space="preserve">Base case | Capital expenditure ($m) | FY2035E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P42" authorId="0">
      <text>
        <r>
          <rPr>
            <sz val="10"/>
            <rFont val="Arial"/>
            <family val="2"/>
          </rPr>
          <t xml:space="preserve">Base case | Effective tax rate | FY2035E
Source: analyst extension, 8-Sep-2026 (not in the 3-statement model, which stops at FY2030E).
FY2031E-FY2035E extension built for this DCF: revenue growth decelerates toward the 3.0% terminal rate and capex normalises from 37.7% of revenue (FY2030E) to 24.2% (FY2035E), taking capex/D&amp;A from 1.76x to 1.24x.</t>
        </r>
      </text>
    </comment>
    <comment ref="P48" authorId="0">
      <text>
        <r>
          <rPr>
            <sz val="10"/>
            <rFont val="Arial"/>
            <family val="2"/>
          </rPr>
          <t xml:space="preserve">Bull case | Revenue growth | FY2035E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P49" authorId="0">
      <text>
        <r>
          <rPr>
            <sz val="10"/>
            <rFont val="Arial"/>
            <family val="2"/>
          </rPr>
          <t xml:space="preserve">Bull case | Cost of revenues ex-D&amp;A (% of revenue) | FY2035E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P50" authorId="0">
      <text>
        <r>
          <rPr>
            <sz val="10"/>
            <rFont val="Arial"/>
            <family val="2"/>
          </rPr>
          <t xml:space="preserve">Bull case | R&amp;D ex-D&amp;A (% of revenue) | FY2035E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P51" authorId="0">
      <text>
        <r>
          <rPr>
            <sz val="10"/>
            <rFont val="Arial"/>
            <family val="2"/>
          </rPr>
          <t xml:space="preserve">Bull case | Sales &amp; marketing (% of revenue) | FY2035E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P52" authorId="0">
      <text>
        <r>
          <rPr>
            <sz val="10"/>
            <rFont val="Arial"/>
            <family val="2"/>
          </rPr>
          <t xml:space="preserve">Bull case | General &amp; administrative (% of revenue) | FY2035E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P53" authorId="0">
      <text>
        <r>
          <rPr>
            <sz val="10"/>
            <rFont val="Arial"/>
            <family val="2"/>
          </rPr>
          <t xml:space="preserve">Bull case | Depreciation (% of beginning net PP&amp;E) | FY2035E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P54" authorId="0">
      <text>
        <r>
          <rPr>
            <sz val="10"/>
            <rFont val="Arial"/>
            <family val="2"/>
          </rPr>
          <t xml:space="preserve">Bull case | Capital expenditure ($m) | FY2035E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  <comment ref="P55" authorId="0">
      <text>
        <r>
          <rPr>
            <sz val="10"/>
            <rFont val="Arial"/>
            <family val="2"/>
          </rPr>
          <t xml:space="preserve">Bull case | Effective tax rate | FY2035E
Source: analyst extension, 8-Sep-2026 (not in the 3-statement model, which stops at FY2030E).
FY2031E-FY2035E extension built for this DCF: AI-driven growth persists longer with continued operating leverage; capex stays near $300bn but falls to 21.3% of revenue as the top line compounds.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Source: FRED series DGS10, 10-Year Treasury Constant Maturity Rate, 4.77% as of 3-Sep-2026. https://fred.stlouisfed.org/series/DGS10</t>
        </r>
      </text>
    </comment>
    <comment ref="B6" authorId="0">
      <text>
        <r>
          <rPr>
            <sz val="10"/>
            <rFont val="Arial"/>
            <family val="2"/>
          </rPr>
          <t xml:space="preserve">Source: stockanalysis.com company profile for GOOG, beta 1.24, retrieved 8-Sep-2026. Elevated versus Alphabet's long-run beta, reflecting AI-capex-driven volatility.</t>
        </r>
      </text>
    </comment>
    <comment ref="B7" authorId="0">
      <text>
        <r>
          <rPr>
            <sz val="10"/>
            <rFont val="Arial"/>
            <family val="2"/>
          </rPr>
          <t xml:space="preserve">Market-standard mature-market equity risk premium of 5.5% (mid-point of the 5.0-6.0% range in general use). Flexed in sensitivity table 3 via the risk-free rate and beta axes.</t>
        </r>
      </text>
    </comment>
    <comment ref="B11" authorId="0">
      <text>
        <r>
          <rPr>
            <sz val="10"/>
            <rFont val="Arial"/>
            <family val="2"/>
          </rPr>
          <t xml:space="preserve">Source: Alphabet's long-standing senior unsecured ratings (Aa2 / AA+). Rating agencies had not downgraded following the 2026 debt raise as of the Q2 2026 10-Q.</t>
        </r>
      </text>
    </comment>
    <comment ref="B12" authorId="0">
      <text>
        <r>
          <rPr>
            <sz val="10"/>
            <rFont val="Arial"/>
            <family val="2"/>
          </rPr>
          <t xml:space="preserve">10Y Treasury of 4.77% plus a ~50bp Aa2/AA+ corporate spread. Cross-check: GOOG_3_Statement_Model.xlsx assumes a 4.3-4.5% interest expense rate on the legacy (lower-coupon) debt stack; 5.25% reflects marginal new-issue cost.</t>
        </r>
      </text>
    </comment>
    <comment ref="B34" authorId="0">
      <text>
        <r>
          <rPr>
            <sz val="10"/>
            <rFont val="Arial"/>
            <family val="2"/>
          </rPr>
          <t xml:space="preserve">Set to 2 (Override) at the analyst's instruction. The CAPM output of ~11.4% reflects an observed beta of 1.24 and a 4.77% risk-free rate; the override applies a discount rate in line with conventional treatment of Alphabet as a mega-cap compounder. Sensitivity table 3 shows the CAPM result across beta and risk-free-rate combinations.</t>
        </r>
      </text>
    </comment>
    <comment ref="B35" authorId="0">
      <text>
        <r>
          <rPr>
            <sz val="10"/>
            <rFont val="Arial"/>
            <family val="2"/>
          </rPr>
          <t xml:space="preserve">Analyst override, mid-point of the instructed 9.00-9.50% range. Applied to the Base case; the Bear and Bull cases add +1.00% and -0.75% respectively via the DCF scenario blocks.</t>
        </r>
      </text>
    </comment>
  </commentList>
</comments>
</file>

<file path=xl/sharedStrings.xml><?xml version="1.0" encoding="utf-8"?>
<sst xmlns="http://schemas.openxmlformats.org/spreadsheetml/2006/main" count="297" uniqueCount="174">
  <si>
    <t xml:space="preserve">ALPHABET INC. (NASDAQ: GOOGL / GOOG) — DISCOUNTED CASH FLOW MODEL</t>
  </si>
  <si>
    <t xml:space="preserve">Ticker: GOOG  |  FYE: 31 December  |  Valuation date: 1-Jan-2026 (FY2025 year-end balance sheet)  |  $ in millions except per-share</t>
  </si>
  <si>
    <t xml:space="preserve">FY2026E–FY2030E assumptions mirror GOOG_3_Statement_Model.xlsx (Base/Upside/Downside). FY2031E–FY2035E are a capex-normalisation extension built for this DCF.</t>
  </si>
  <si>
    <t xml:space="preserve">Blue font = hardcoded input   |   Black font = formula   |   Green font = link to WACC sheet</t>
  </si>
  <si>
    <t xml:space="preserve">CASE SELECTOR</t>
  </si>
  <si>
    <t xml:space="preserve">Selected case  (1 = Bear · 2 = Base · 3 = Bull)</t>
  </si>
  <si>
    <t xml:space="preserve">MARKET DATA &amp; VALUATION INPUTS</t>
  </si>
  <si>
    <t xml:space="preserve">Current share price ($)</t>
  </si>
  <si>
    <t xml:space="preserve">Diluted shares outstanding (m)</t>
  </si>
  <si>
    <t xml:space="preserve">Market capitalisation ($m)</t>
  </si>
  <si>
    <t xml:space="preserve">Cash, equivalents &amp; marketable securities ($m)</t>
  </si>
  <si>
    <t xml:space="preserve">Total debt ($m)</t>
  </si>
  <si>
    <t xml:space="preserve">Net cash / (net debt) ($m)</t>
  </si>
  <si>
    <t xml:space="preserve">WACC — selected (from WACC sheet)</t>
  </si>
  <si>
    <t xml:space="preserve">Terminal capex as multiple of terminal D&amp;A (x)</t>
  </si>
  <si>
    <t xml:space="preserve">Change in NWC as % of change in revenue</t>
  </si>
  <si>
    <t xml:space="preserve">Valuation roll-forward to 8-Sep-2026 (years)</t>
  </si>
  <si>
    <t xml:space="preserve">BEAR CASE ASSUMPTIONS  (= 3-statement model Downside, extended)</t>
  </si>
  <si>
    <t xml:space="preserve">Assumption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</si>
  <si>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</si>
  <si>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</si>
  <si>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</si>
  <si>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</si>
  <si>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</si>
  <si>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</si>
  <si>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</si>
  <si>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</si>
  <si>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</si>
  <si>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</si>
  <si>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t xml:space="preserve">   Revenue growth (%)</t>
  </si>
  <si>
    <t xml:space="preserve">   Cost of revenues ex-D&amp;A (% of revenue)</t>
  </si>
  <si>
    <t xml:space="preserve">   Research &amp; development ex-D&amp;A (% of revenue)</t>
  </si>
  <si>
    <t xml:space="preserve">   Sales &amp; marketing (% of revenue)</t>
  </si>
  <si>
    <t xml:space="preserve">   General &amp; administrative (% of revenue)</t>
  </si>
  <si>
    <t xml:space="preserve">   Depreciation (% of beginning net PP&amp;E)</t>
  </si>
  <si>
    <t xml:space="preserve">   Capital expenditure ($m)</t>
  </si>
  <si>
    <t xml:space="preserve">   Effective tax rate (%)</t>
  </si>
  <si>
    <t xml:space="preserve">   Terminal growth rate (%)</t>
  </si>
  <si>
    <t xml:space="preserve">   WACC spread vs. selected WACC (%)</t>
  </si>
  <si>
    <t xml:space="preserve">BASE CASE ASSUMPTIONS  (= 3-statement model Base, extended)</t>
  </si>
  <si>
    <t xml:space="preserve">BULL CASE ASSUMPTIONS  (= 3-statement model Upside, extended)</t>
  </si>
  <si>
    <t xml:space="preserve">LIVE ASSUMPTIONS — SELECTED CASE  (CHOOSE() consolidation; all projections reference these rows)</t>
  </si>
  <si>
    <t xml:space="preserve">   WACC — selected case (%)</t>
  </si>
  <si>
    <t xml:space="preserve">HISTORICAL REPORTED INCOME STATEMENT  (as filed, FY2021A–FY2025A)</t>
  </si>
  <si>
    <t xml:space="preserve">($m)</t>
  </si>
  <si>
    <t xml:space="preserve">FY2021A</t>
  </si>
  <si>
    <t xml:space="preserve">FY2022A</t>
  </si>
  <si>
    <t xml:space="preserve">FY2023A</t>
  </si>
  <si>
    <t xml:space="preserve">FY2024A</t>
  </si>
  <si>
    <t xml:space="preserve">FY2025A</t>
  </si>
  <si>
    <t xml:space="preserve">   Revenues</t>
  </si>
  <si>
    <t xml:space="preserve">   Cost of revenues</t>
  </si>
  <si>
    <t xml:space="preserve">   Research and development</t>
  </si>
  <si>
    <t xml:space="preserve">   Sales and marketing</t>
  </si>
  <si>
    <t xml:space="preserve">   General and administrative</t>
  </si>
  <si>
    <t xml:space="preserve">   Income from operations</t>
  </si>
  <si>
    <t xml:space="preserve">   Depreciation of property and equipment</t>
  </si>
  <si>
    <t xml:space="preserve">   D&amp;A allocated to cost of revenues (%)</t>
  </si>
  <si>
    <t xml:space="preserve">INCOME STATEMENT — HISTORICAL &amp; PROJECTED</t>
  </si>
  <si>
    <t xml:space="preserve">Revenue</t>
  </si>
  <si>
    <t xml:space="preserve">   Revenue growth %</t>
  </si>
  <si>
    <t xml:space="preserve">   Cost of revenues (ex-D&amp;A)</t>
  </si>
  <si>
    <t xml:space="preserve">      % of revenue</t>
  </si>
  <si>
    <t xml:space="preserve">   Research &amp; development (ex-D&amp;A)</t>
  </si>
  <si>
    <t xml:space="preserve">   Sales &amp; marketing</t>
  </si>
  <si>
    <t xml:space="preserve">   General &amp; administrative</t>
  </si>
  <si>
    <t xml:space="preserve">Total operating costs (ex-D&amp;A)</t>
  </si>
  <si>
    <t xml:space="preserve">EBITDA</t>
  </si>
  <si>
    <t xml:space="preserve">   EBITDA margin %</t>
  </si>
  <si>
    <t xml:space="preserve">   Depreciation &amp; amortisation</t>
  </si>
  <si>
    <t xml:space="preserve">      D&amp;A % of revenue</t>
  </si>
  <si>
    <t xml:space="preserve">EBIT</t>
  </si>
  <si>
    <t xml:space="preserve">   EBIT margin %</t>
  </si>
  <si>
    <t xml:space="preserve">   Memo: reported income from operations</t>
  </si>
  <si>
    <t xml:space="preserve">   Taxes on EBIT</t>
  </si>
  <si>
    <t xml:space="preserve">      Effective tax rate %</t>
  </si>
  <si>
    <t xml:space="preserve">NOPAT</t>
  </si>
  <si>
    <t xml:space="preserve">PROPERTY &amp; EQUIPMENT / DEPRECIATION ROLL-FORWARD</t>
  </si>
  <si>
    <t xml:space="preserve">   Beginning net property &amp; equipment</t>
  </si>
  <si>
    <t xml:space="preserve">   (+) Capital expenditure</t>
  </si>
  <si>
    <t xml:space="preserve">   (–) Depreciation</t>
  </si>
  <si>
    <t xml:space="preserve">   Ending net property &amp; equipment</t>
  </si>
  <si>
    <t xml:space="preserve">      Capex % of revenue</t>
  </si>
  <si>
    <t xml:space="preserve">      Capex / D&amp;A (x)</t>
  </si>
  <si>
    <t xml:space="preserve">      Implied average remaining asset life (years)</t>
  </si>
  <si>
    <t xml:space="preserve">UNLEVERED FREE CASH FLOW</t>
  </si>
  <si>
    <t xml:space="preserve">   NOPAT</t>
  </si>
  <si>
    <t xml:space="preserve">   (+) Depreciation &amp; amortisation</t>
  </si>
  <si>
    <t xml:space="preserve">   (–) Capital expenditure</t>
  </si>
  <si>
    <t xml:space="preserve">   (–) Change in net working capital</t>
  </si>
  <si>
    <t xml:space="preserve">   FCF margin %</t>
  </si>
  <si>
    <t xml:space="preserve">DISCOUNTING  (mid-year convention)</t>
  </si>
  <si>
    <t xml:space="preserve">   Unlevered free cash flow</t>
  </si>
  <si>
    <t xml:space="preserve">   Year index (t)</t>
  </si>
  <si>
    <t xml:space="preserve">   Discount period (mid-year)</t>
  </si>
  <si>
    <t xml:space="preserve">   Discount factor</t>
  </si>
  <si>
    <t xml:space="preserve">   PV of unlevered FCF</t>
  </si>
  <si>
    <t xml:space="preserve">TERMINAL VALUE  (perpetuity growth, normalised reinvestment)</t>
  </si>
  <si>
    <t xml:space="preserve">   Terminal-year (FY2035E) NOPAT</t>
  </si>
  <si>
    <t xml:space="preserve">   (+) Terminal-year D&amp;A</t>
  </si>
  <si>
    <t xml:space="preserve">   (–) Normalised terminal capex (= D&amp;A × multiple)</t>
  </si>
  <si>
    <t xml:space="preserve">   (–) Change in NWC at terminal growth</t>
  </si>
  <si>
    <t xml:space="preserve">   Normalised terminal-year free cash flow</t>
  </si>
  <si>
    <t xml:space="preserve">   Terminal growth rate</t>
  </si>
  <si>
    <t xml:space="preserve">   WACC</t>
  </si>
  <si>
    <t xml:space="preserve">   Terminal FCF grown one year</t>
  </si>
  <si>
    <t xml:space="preserve">   Terminal value at FY2035E</t>
  </si>
  <si>
    <t xml:space="preserve">   Discount factor (period 9.5)</t>
  </si>
  <si>
    <t xml:space="preserve">   PV of terminal value</t>
  </si>
  <si>
    <t xml:space="preserve">VALUATION SUMMARY</t>
  </si>
  <si>
    <t xml:space="preserve">   Sum of PV of explicit FCFs (FY2026E–FY2035E)</t>
  </si>
  <si>
    <t xml:space="preserve">   ENTERPRISE VALUE</t>
  </si>
  <si>
    <t xml:space="preserve">   (+) Net cash / (– net debt)</t>
  </si>
  <si>
    <t xml:space="preserve">   EQUITY VALUE</t>
  </si>
  <si>
    <t xml:space="preserve">   Diluted shares outstanding (m)</t>
  </si>
  <si>
    <t xml:space="preserve">   Implied value per share — 1-Jan-2026 ($)</t>
  </si>
  <si>
    <t xml:space="preserve">   Roll-forward factor to 8-Sep-2026</t>
  </si>
  <si>
    <t xml:space="preserve">   IMPLIED VALUE PER SHARE — 8-Sep-2026 ($)</t>
  </si>
  <si>
    <t xml:space="preserve">   Current share price ($)</t>
  </si>
  <si>
    <t xml:space="preserve">   Implied upside / (downside)</t>
  </si>
  <si>
    <t xml:space="preserve">MODEL CHECKS &amp; MEMO</t>
  </si>
  <si>
    <t xml:space="preserve">   Terminal value as % of enterprise value</t>
  </si>
  <si>
    <t xml:space="preserve">      Check: within 50–70% band?</t>
  </si>
  <si>
    <t xml:space="preserve">   Terminal growth below WACC?</t>
  </si>
  <si>
    <t xml:space="preserve">   Effective tax rate within 15–28%?</t>
  </si>
  <si>
    <t xml:space="preserve">   Memo: implied EV / FY2026E revenue</t>
  </si>
  <si>
    <t xml:space="preserve">   Memo: implied EV / FY2030E EBITDA</t>
  </si>
  <si>
    <t xml:space="preserve">   Memo: cumulative FY2026E–FY2035E capex</t>
  </si>
  <si>
    <t xml:space="preserve">   Memo: cumulative FY2026E–FY2035E unlevered FCF</t>
  </si>
  <si>
    <t xml:space="preserve">   Memo: FY2035E EBIT margin</t>
  </si>
  <si>
    <t xml:space="preserve">Note: stock-based compensation is treated as a real operating expense (embedded in the ex-D&amp;A cost lines) and is NOT added back to FCF.</t>
  </si>
  <si>
    <t xml:space="preserve">SENSITIVITY ANALYSIS — IMPLIED VALUE PER SHARE ($, as of 8-Sep-2026)</t>
  </si>
  <si>
    <t xml:space="preserve">Each cell is a full DCF recalculation for that assumption pair. The centre cell (medium blue, bold) is the live model output. Current price: $335.31.</t>
  </si>
  <si>
    <t xml:space="preserve">Table 1 — WACC (rows) vs. terminal growth rate (columns)</t>
  </si>
  <si>
    <t xml:space="preserve">WACC  \  Terminal g</t>
  </si>
  <si>
    <t xml:space="preserve">Table 2 — Revenue CAGR shift (rows) vs. EBIT margin shift (columns)</t>
  </si>
  <si>
    <t xml:space="preserve">Rev CAGR shift  \  EBIT margin shift</t>
  </si>
  <si>
    <t xml:space="preserve">Table 3 — Beta (rows) vs. risk-free rate (columns), using the CAPM WACC (override switched off)</t>
  </si>
  <si>
    <t xml:space="preserve">Implied CAPM WACC for each pair (%)</t>
  </si>
  <si>
    <t xml:space="preserve">Beta  \  Risk-free rate</t>
  </si>
  <si>
    <t xml:space="preserve">Note: Table 3 deliberately ignores the WACC override so the cost of capital responds to beta and the risk-free rate. Its centre cell is the CAPM base (beta 1.24, Rf 4.77%), NOT the live model output — the gap between it and Table 1's centre cell is the value being attributed to the override.</t>
  </si>
  <si>
    <t xml:space="preserve">ALPHABET INC. — WEIGHTED AVERAGE COST OF CAPITAL</t>
  </si>
  <si>
    <t xml:space="preserve">Market data as of 4-Sep-2026 close  |  $ in millions  |  Blue = input, black = formula, green = link to DCF sheet</t>
  </si>
  <si>
    <t xml:space="preserve">COST OF EQUITY  (CAPM)</t>
  </si>
  <si>
    <t xml:space="preserve">   Risk-free rate (10Y US Treasury)</t>
  </si>
  <si>
    <t xml:space="preserve">   Levered beta (5-year monthly)</t>
  </si>
  <si>
    <t xml:space="preserve">   Equity risk premium</t>
  </si>
  <si>
    <t xml:space="preserve">   Cost of equity (CAPM)</t>
  </si>
  <si>
    <t xml:space="preserve">COST OF DEBT</t>
  </si>
  <si>
    <t xml:space="preserve">   Credit rating (Moody's / S&amp;P)</t>
  </si>
  <si>
    <t xml:space="preserve">Aa2 / AA+</t>
  </si>
  <si>
    <t xml:space="preserve">   Pre-tax cost of debt</t>
  </si>
  <si>
    <t xml:space="preserve">   Effective tax rate (live, from DCF)</t>
  </si>
  <si>
    <t xml:space="preserve">   After-tax cost of debt</t>
  </si>
  <si>
    <t xml:space="preserve">CAPITAL STRUCTURE  (market values)</t>
  </si>
  <si>
    <t xml:space="preserve">   Market capitalisation ($m)</t>
  </si>
  <si>
    <t xml:space="preserve">   Total debt ($m)</t>
  </si>
  <si>
    <t xml:space="preserve">   Cash, equivalents &amp; marketable securities ($m)</t>
  </si>
  <si>
    <t xml:space="preserve">   Net cash / (net debt) ($m)</t>
  </si>
  <si>
    <t xml:space="preserve">   Total capitalisation — market equity + gross debt ($m)</t>
  </si>
  <si>
    <t xml:space="preserve">   Note: WACC weights use GROSS debt (Alphabet is in a net cash position; net-debt weights would produce a negative debt weight and a WACC above the cost of equity). Net cash is credited in the DCF equity bridge instead.</t>
  </si>
  <si>
    <t xml:space="preserve">WACC CALCULATION</t>
  </si>
  <si>
    <t xml:space="preserve">Component</t>
  </si>
  <si>
    <t xml:space="preserve">Weight</t>
  </si>
  <si>
    <t xml:space="preserve">Cost</t>
  </si>
  <si>
    <t xml:space="preserve">Contribution</t>
  </si>
  <si>
    <t xml:space="preserve">   Equity</t>
  </si>
  <si>
    <t xml:space="preserve">   Debt</t>
  </si>
  <si>
    <t xml:space="preserve">   Total</t>
  </si>
  <si>
    <t xml:space="preserve">WACC — CAPM output</t>
  </si>
  <si>
    <t xml:space="preserve">WACC SELECTION</t>
  </si>
  <si>
    <t xml:space="preserve">   WACC method  (1 = CAPM · 2 = Override)</t>
  </si>
  <si>
    <t xml:space="preserve">   Override WACC (%)</t>
  </si>
  <si>
    <t xml:space="preserve">WACC — SELECTED (used in DCF)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</si>
</sst>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\$#,##0.00;&quot;($&quot;#,##0.00\);\-"/>
    <numFmt numFmtId="167" formatCode="#,##0;\(#,##0\);\-"/>
    <numFmt numFmtId="168" formatCode="\$#,##0;&quot;($&quot;#,##0\);\-"/>
    <numFmt numFmtId="169" formatCode="0.00%"/>
    <numFmt numFmtId="170" formatCode="0.00\x"/>
    <numFmt numFmtId="171" formatCode="0.0%"/>
    <numFmt numFmtId="172" formatCode="0.000"/>
    <numFmt numFmtId="173" formatCode="0.0\y"/>
    <numFmt numFmtId="174" formatCode="0.0"/>
    <numFmt numFmtId="175" formatCode="0.0000"/>
    <numFmt numFmtId="176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Cambria"/>
      <family val="0"/>
      <charset val="1"/>
    </font>
    <font>
      <i val="true"/>
      <sz val="9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  <font>
      <i val="true"/>
      <sz val="11"/>
      <color rgb="FF000000"/>
      <name val="Cambria"/>
      <family val="0"/>
      <charset val="1"/>
    </font>
    <font>
      <b val="true"/>
      <sz val="11"/>
      <color rgb="FF1F4E79"/>
      <name val="Cambria"/>
      <family val="0"/>
      <charset val="1"/>
    </font>
    <font>
      <b val="true"/>
      <sz val="10"/>
      <color rgb="FF1F4E79"/>
      <name val="Cambria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BDD7EE"/>
        <bgColor rgb="FFD9E1F2"/>
      </patternFill>
    </fill>
    <fill>
      <patternFill patternType="solid">
        <fgColor rgb="FFD9E1F2"/>
        <bgColor rgb="FFBDD7EE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/>
      <diagonal/>
    </border>
    <border diagonalUp="false" diagonalDown="false">
      <left style="medium">
        <color rgb="FF1F4E79"/>
      </left>
      <right/>
      <top/>
      <bottom style="medium">
        <color rgb="FF1F4E79"/>
      </bottom>
      <diagonal/>
    </border>
    <border diagonalUp="false" diagonalDown="false">
      <left/>
      <right/>
      <top/>
      <bottom style="medium">
        <color rgb="FF1F4E79"/>
      </bottom>
      <diagonal/>
    </border>
    <border diagonalUp="false" diagonalDown="false">
      <left/>
      <right style="medium">
        <color rgb="FF1F4E79"/>
      </right>
      <top/>
      <bottom style="medium">
        <color rgb="FF1F4E79"/>
      </bottom>
      <diagonal/>
    </border>
    <border diagonalUp="false" diagonalDown="false">
      <left style="medium">
        <color rgb="FF1F4E79"/>
      </left>
      <right/>
      <top/>
      <bottom/>
      <diagonal/>
    </border>
    <border diagonalUp="false" diagonalDown="false">
      <left/>
      <right style="medium">
        <color rgb="FF1F4E79"/>
      </right>
      <top/>
      <bottom/>
      <diagonal/>
    </border>
    <border diagonalUp="false" diagonalDown="false">
      <left style="medium">
        <color rgb="FF1F4E79"/>
      </left>
      <right/>
      <top style="medium">
        <color rgb="FF1F4E79"/>
      </top>
      <bottom/>
      <diagonal/>
    </border>
    <border diagonalUp="false" diagonalDown="false">
      <left/>
      <right/>
      <top style="medium">
        <color rgb="FF1F4E79"/>
      </top>
      <bottom/>
      <diagonal/>
    </border>
    <border diagonalUp="false" diagonalDown="false">
      <left/>
      <right style="medium">
        <color rgb="FF1F4E79"/>
      </right>
      <top style="medium">
        <color rgb="FF1F4E7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1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10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10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4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16" min="2" style="1" width="13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 t="s">
        <v>2</v>
      </c>
    </row>
    <row r="4" customFormat="false" ht="15" hidden="false" customHeight="true" outlineLevel="0" collapsed="false">
      <c r="A4" s="4" t="s">
        <v>3</v>
      </c>
    </row>
    <row r="6" customFormat="false" ht="15" hidden="false" customHeight="true" outlineLevel="0" collapsed="false">
      <c r="A6" s="5" t="s">
        <v>4</v>
      </c>
      <c r="B6" s="5"/>
      <c r="C6" s="5"/>
      <c r="D6" s="5"/>
    </row>
    <row r="7" customFormat="false" ht="15" hidden="false" customHeight="true" outlineLevel="0" collapsed="false">
      <c r="A7" s="6" t="s">
        <v>5</v>
      </c>
      <c r="B7" s="7" t="n">
        <v>2</v>
      </c>
      <c r="C7" s="8" t="str">
        <f aca="false">IF($B$7=1,"BEAR",IF($B$7=2,"BASE","BULL"))</f>
        <v>BASE</v>
      </c>
      <c r="D7" s="9"/>
    </row>
    <row r="9" customFormat="false" ht="15" hidden="false" customHeight="true" outlineLevel="0" collapsed="false">
      <c r="A9" s="5" t="s">
        <v>6</v>
      </c>
      <c r="B9" s="5"/>
      <c r="C9" s="5"/>
      <c r="D9" s="5"/>
    </row>
    <row r="10" customFormat="false" ht="15" hidden="false" customHeight="true" outlineLevel="0" collapsed="false">
      <c r="A10" s="10" t="s">
        <v>7</v>
      </c>
      <c r="B10" s="11" t="n">
        <v>335.31</v>
      </c>
      <c r="D10" s="12"/>
    </row>
    <row r="11" customFormat="false" ht="15" hidden="false" customHeight="true" outlineLevel="0" collapsed="false">
      <c r="A11" s="10" t="s">
        <v>8</v>
      </c>
      <c r="B11" s="13" t="n">
        <v>12450</v>
      </c>
      <c r="D11" s="12"/>
    </row>
    <row r="12" customFormat="false" ht="15" hidden="false" customHeight="true" outlineLevel="0" collapsed="false">
      <c r="A12" s="10" t="s">
        <v>9</v>
      </c>
      <c r="B12" s="14" t="n">
        <f aca="false">B10*B11</f>
        <v>4174609.5</v>
      </c>
      <c r="D12" s="12"/>
    </row>
    <row r="13" customFormat="false" ht="15" hidden="false" customHeight="true" outlineLevel="0" collapsed="false">
      <c r="A13" s="10" t="s">
        <v>10</v>
      </c>
      <c r="B13" s="15" t="n">
        <v>126843</v>
      </c>
      <c r="D13" s="12"/>
    </row>
    <row r="14" customFormat="false" ht="15" hidden="false" customHeight="true" outlineLevel="0" collapsed="false">
      <c r="A14" s="10" t="s">
        <v>11</v>
      </c>
      <c r="B14" s="15" t="n">
        <v>46547</v>
      </c>
      <c r="D14" s="12"/>
    </row>
    <row r="15" customFormat="false" ht="15" hidden="false" customHeight="true" outlineLevel="0" collapsed="false">
      <c r="A15" s="10" t="s">
        <v>12</v>
      </c>
      <c r="B15" s="14" t="n">
        <f aca="false">B13-B14</f>
        <v>80296</v>
      </c>
      <c r="D15" s="12"/>
    </row>
    <row r="16" customFormat="false" ht="15" hidden="false" customHeight="true" outlineLevel="0" collapsed="false">
      <c r="A16" s="10" t="s">
        <v>13</v>
      </c>
      <c r="B16" s="16" t="n">
        <f aca="false">WACC!B36</f>
        <v>0.0925</v>
      </c>
      <c r="D16" s="12"/>
    </row>
    <row r="17" customFormat="false" ht="15" hidden="false" customHeight="true" outlineLevel="0" collapsed="false">
      <c r="A17" s="10" t="s">
        <v>14</v>
      </c>
      <c r="B17" s="17" t="n">
        <v>1.15</v>
      </c>
      <c r="D17" s="12"/>
    </row>
    <row r="18" customFormat="false" ht="15" hidden="false" customHeight="true" outlineLevel="0" collapsed="false">
      <c r="A18" s="10" t="s">
        <v>15</v>
      </c>
      <c r="B18" s="18" t="n">
        <v>-0.018</v>
      </c>
      <c r="D18" s="12"/>
    </row>
    <row r="19" customFormat="false" ht="15" hidden="false" customHeight="true" outlineLevel="0" collapsed="false">
      <c r="A19" s="6" t="s">
        <v>16</v>
      </c>
      <c r="B19" s="19" t="n">
        <v>0.685</v>
      </c>
      <c r="C19" s="20"/>
      <c r="D19" s="9"/>
    </row>
    <row r="20" customFormat="false" ht="15" hidden="false" customHeight="true" outlineLevel="0" collapsed="false">
      <c r="A20" s="5" t="s">
        <v>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customFormat="false" ht="15" hidden="false" customHeight="true" outlineLevel="0" collapsed="false">
      <c r="A21" s="21" t="s">
        <v>18</v>
      </c>
      <c r="B21" s="22"/>
      <c r="C21" s="22"/>
      <c r="D21" s="22"/>
      <c r="E21" s="22"/>
      <c r="F21" s="22"/>
      <c r="G21" s="23" t="s">
        <v>19</v>
      </c>
      <c r="H21" s="23" t="s">
        <v>20</v>
      </c>
      <c r="I21" s="23" t="s">
        <v>21</v>
      </c>
      <c r="J21" s="23" t="s">
        <v>22</v>
      </c>
      <c r="K21" s="23" t="s">
        <v>23</v>
      </c>
      <c r="L21" s="23" t="s">
        <v>24</v>
      </c>
      <c r="M21" s="23" t="s">
        <v>25</v>
      </c>
      <c r="N21" s="23" t="s">
        <v>26</v>
      </c>
      <c r="O21" s="23" t="s">
        <v>27</v>
      </c>
      <c r="P21" s="24" t="s">
        <v>28</v>
      </c>
    </row>
    <row r="22" customFormat="false" ht="15" hidden="false" customHeight="true" outlineLevel="0" collapsed="false">
      <c r="A22" s="10" t="s">
        <v>29</v>
      </c>
      <c r="G22" s="18" t="n">
        <v>0.185</v>
      </c>
      <c r="H22" s="18" t="n">
        <v>0.12</v>
      </c>
      <c r="I22" s="18" t="n">
        <v>0.09</v>
      </c>
      <c r="J22" s="18" t="n">
        <v>0.07</v>
      </c>
      <c r="K22" s="18" t="n">
        <v>0.06</v>
      </c>
      <c r="L22" s="18" t="n">
        <v>0.05</v>
      </c>
      <c r="M22" s="18" t="n">
        <v>0.045</v>
      </c>
      <c r="N22" s="18" t="n">
        <v>0.04</v>
      </c>
      <c r="O22" s="18" t="n">
        <v>0.035</v>
      </c>
      <c r="P22" s="25" t="n">
        <v>0.03</v>
      </c>
    </row>
    <row r="23" customFormat="false" ht="15" hidden="false" customHeight="true" outlineLevel="0" collapsed="false">
      <c r="A23" s="10" t="s">
        <v>30</v>
      </c>
      <c r="G23" s="18" t="n">
        <v>0.345</v>
      </c>
      <c r="H23" s="18" t="n">
        <v>0.355</v>
      </c>
      <c r="I23" s="18" t="n">
        <v>0.365</v>
      </c>
      <c r="J23" s="18" t="n">
        <v>0.372</v>
      </c>
      <c r="K23" s="18" t="n">
        <v>0.378</v>
      </c>
      <c r="L23" s="18" t="n">
        <v>0.38</v>
      </c>
      <c r="M23" s="18" t="n">
        <v>0.381</v>
      </c>
      <c r="N23" s="18" t="n">
        <v>0.382</v>
      </c>
      <c r="O23" s="18" t="n">
        <v>0.382</v>
      </c>
      <c r="P23" s="25" t="n">
        <v>0.383</v>
      </c>
    </row>
    <row r="24" customFormat="false" ht="15" hidden="false" customHeight="true" outlineLevel="0" collapsed="false">
      <c r="A24" s="10" t="s">
        <v>31</v>
      </c>
      <c r="G24" s="18" t="n">
        <v>0.15</v>
      </c>
      <c r="H24" s="18" t="n">
        <v>0.156</v>
      </c>
      <c r="I24" s="18" t="n">
        <v>0.161</v>
      </c>
      <c r="J24" s="18" t="n">
        <v>0.165</v>
      </c>
      <c r="K24" s="18" t="n">
        <v>0.168</v>
      </c>
      <c r="L24" s="18" t="n">
        <v>0.169</v>
      </c>
      <c r="M24" s="18" t="n">
        <v>0.17</v>
      </c>
      <c r="N24" s="18" t="n">
        <v>0.17</v>
      </c>
      <c r="O24" s="18" t="n">
        <v>0.171</v>
      </c>
      <c r="P24" s="25" t="n">
        <v>0.171</v>
      </c>
    </row>
    <row r="25" customFormat="false" ht="15" hidden="false" customHeight="true" outlineLevel="0" collapsed="false">
      <c r="A25" s="10" t="s">
        <v>32</v>
      </c>
      <c r="G25" s="18" t="n">
        <v>0.071</v>
      </c>
      <c r="H25" s="18" t="n">
        <v>0.073</v>
      </c>
      <c r="I25" s="18" t="n">
        <v>0.075</v>
      </c>
      <c r="J25" s="18" t="n">
        <v>0.076</v>
      </c>
      <c r="K25" s="18" t="n">
        <v>0.077</v>
      </c>
      <c r="L25" s="18" t="n">
        <v>0.077</v>
      </c>
      <c r="M25" s="18" t="n">
        <v>0.078</v>
      </c>
      <c r="N25" s="18" t="n">
        <v>0.078</v>
      </c>
      <c r="O25" s="18" t="n">
        <v>0.078</v>
      </c>
      <c r="P25" s="25" t="n">
        <v>0.078</v>
      </c>
    </row>
    <row r="26" customFormat="false" ht="15" hidden="false" customHeight="true" outlineLevel="0" collapsed="false">
      <c r="A26" s="10" t="s">
        <v>33</v>
      </c>
      <c r="G26" s="18" t="n">
        <v>0.049</v>
      </c>
      <c r="H26" s="18" t="n">
        <v>0.05</v>
      </c>
      <c r="I26" s="18" t="n">
        <v>0.051</v>
      </c>
      <c r="J26" s="18" t="n">
        <v>0.052</v>
      </c>
      <c r="K26" s="18" t="n">
        <v>0.053</v>
      </c>
      <c r="L26" s="18" t="n">
        <v>0.053</v>
      </c>
      <c r="M26" s="18" t="n">
        <v>0.053</v>
      </c>
      <c r="N26" s="18" t="n">
        <v>0.054</v>
      </c>
      <c r="O26" s="18" t="n">
        <v>0.054</v>
      </c>
      <c r="P26" s="25" t="n">
        <v>0.054</v>
      </c>
    </row>
    <row r="27" customFormat="false" ht="15" hidden="false" customHeight="true" outlineLevel="0" collapsed="false">
      <c r="A27" s="10" t="s">
        <v>34</v>
      </c>
      <c r="G27" s="18" t="n">
        <v>0.133</v>
      </c>
      <c r="H27" s="18" t="n">
        <v>0.158</v>
      </c>
      <c r="I27" s="18" t="n">
        <v>0.178</v>
      </c>
      <c r="J27" s="18" t="n">
        <v>0.192</v>
      </c>
      <c r="K27" s="18" t="n">
        <v>0.2</v>
      </c>
      <c r="L27" s="18" t="n">
        <v>0.2</v>
      </c>
      <c r="M27" s="18" t="n">
        <v>0.195</v>
      </c>
      <c r="N27" s="18" t="n">
        <v>0.19</v>
      </c>
      <c r="O27" s="18" t="n">
        <v>0.185</v>
      </c>
      <c r="P27" s="25" t="n">
        <v>0.18</v>
      </c>
    </row>
    <row r="28" customFormat="false" ht="15" hidden="false" customHeight="true" outlineLevel="0" collapsed="false">
      <c r="A28" s="10" t="s">
        <v>35</v>
      </c>
      <c r="G28" s="15" t="n">
        <v>200000</v>
      </c>
      <c r="H28" s="15" t="n">
        <v>250000</v>
      </c>
      <c r="I28" s="15" t="n">
        <v>230000</v>
      </c>
      <c r="J28" s="15" t="n">
        <v>200000</v>
      </c>
      <c r="K28" s="15" t="n">
        <v>180000</v>
      </c>
      <c r="L28" s="15" t="n">
        <v>175000</v>
      </c>
      <c r="M28" s="15" t="n">
        <v>175000</v>
      </c>
      <c r="N28" s="15" t="n">
        <v>180000</v>
      </c>
      <c r="O28" s="15" t="n">
        <v>185000</v>
      </c>
      <c r="P28" s="26" t="n">
        <v>190000</v>
      </c>
    </row>
    <row r="29" customFormat="false" ht="15" hidden="false" customHeight="true" outlineLevel="0" collapsed="false">
      <c r="A29" s="10" t="s">
        <v>36</v>
      </c>
      <c r="G29" s="18" t="n">
        <v>0.195</v>
      </c>
      <c r="H29" s="18" t="n">
        <v>0.2</v>
      </c>
      <c r="I29" s="18" t="n">
        <v>0.205</v>
      </c>
      <c r="J29" s="18" t="n">
        <v>0.205</v>
      </c>
      <c r="K29" s="18" t="n">
        <v>0.205</v>
      </c>
      <c r="L29" s="18" t="n">
        <v>0.205</v>
      </c>
      <c r="M29" s="18" t="n">
        <v>0.205</v>
      </c>
      <c r="N29" s="18" t="n">
        <v>0.205</v>
      </c>
      <c r="O29" s="18" t="n">
        <v>0.205</v>
      </c>
      <c r="P29" s="25" t="n">
        <v>0.205</v>
      </c>
    </row>
    <row r="30" customFormat="false" ht="15" hidden="false" customHeight="true" outlineLevel="0" collapsed="false">
      <c r="A30" s="10" t="s">
        <v>37</v>
      </c>
      <c r="G30" s="18" t="n">
        <v>0.02</v>
      </c>
      <c r="P30" s="12"/>
    </row>
    <row r="31" customFormat="false" ht="15" hidden="false" customHeight="true" outlineLevel="0" collapsed="false">
      <c r="A31" s="6" t="s">
        <v>38</v>
      </c>
      <c r="B31" s="20"/>
      <c r="C31" s="20"/>
      <c r="D31" s="20"/>
      <c r="E31" s="20"/>
      <c r="F31" s="20"/>
      <c r="G31" s="27" t="n">
        <v>0.01</v>
      </c>
      <c r="H31" s="20"/>
      <c r="I31" s="20"/>
      <c r="J31" s="20"/>
      <c r="K31" s="20"/>
      <c r="L31" s="20"/>
      <c r="M31" s="20"/>
      <c r="N31" s="20"/>
      <c r="O31" s="20"/>
      <c r="P31" s="9"/>
    </row>
    <row r="33" customFormat="false" ht="15" hidden="false" customHeight="true" outlineLevel="0" collapsed="false">
      <c r="A33" s="5" t="s">
        <v>39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customFormat="false" ht="15" hidden="false" customHeight="true" outlineLevel="0" collapsed="false">
      <c r="A34" s="21" t="s">
        <v>18</v>
      </c>
      <c r="B34" s="22"/>
      <c r="C34" s="22"/>
      <c r="D34" s="22"/>
      <c r="E34" s="22"/>
      <c r="F34" s="22"/>
      <c r="G34" s="23" t="s">
        <v>19</v>
      </c>
      <c r="H34" s="23" t="s">
        <v>20</v>
      </c>
      <c r="I34" s="23" t="s">
        <v>21</v>
      </c>
      <c r="J34" s="23" t="s">
        <v>22</v>
      </c>
      <c r="K34" s="23" t="s">
        <v>23</v>
      </c>
      <c r="L34" s="23" t="s">
        <v>24</v>
      </c>
      <c r="M34" s="23" t="s">
        <v>25</v>
      </c>
      <c r="N34" s="23" t="s">
        <v>26</v>
      </c>
      <c r="O34" s="23" t="s">
        <v>27</v>
      </c>
      <c r="P34" s="24" t="s">
        <v>28</v>
      </c>
    </row>
    <row r="35" customFormat="false" ht="15" hidden="false" customHeight="true" outlineLevel="0" collapsed="false">
      <c r="A35" s="10" t="s">
        <v>29</v>
      </c>
      <c r="G35" s="18" t="n">
        <v>0.21</v>
      </c>
      <c r="H35" s="18" t="n">
        <v>0.17</v>
      </c>
      <c r="I35" s="18" t="n">
        <v>0.14</v>
      </c>
      <c r="J35" s="18" t="n">
        <v>0.12</v>
      </c>
      <c r="K35" s="18" t="n">
        <v>0.11</v>
      </c>
      <c r="L35" s="18" t="n">
        <v>0.095</v>
      </c>
      <c r="M35" s="18" t="n">
        <v>0.08</v>
      </c>
      <c r="N35" s="18" t="n">
        <v>0.07</v>
      </c>
      <c r="O35" s="18" t="n">
        <v>0.06</v>
      </c>
      <c r="P35" s="25" t="n">
        <v>0.05</v>
      </c>
    </row>
    <row r="36" customFormat="false" ht="15" hidden="false" customHeight="true" outlineLevel="0" collapsed="false">
      <c r="A36" s="10" t="s">
        <v>30</v>
      </c>
      <c r="G36" s="18" t="n">
        <v>0.335</v>
      </c>
      <c r="H36" s="18" t="n">
        <v>0.332</v>
      </c>
      <c r="I36" s="18" t="n">
        <v>0.33</v>
      </c>
      <c r="J36" s="18" t="n">
        <v>0.328</v>
      </c>
      <c r="K36" s="18" t="n">
        <v>0.326</v>
      </c>
      <c r="L36" s="18" t="n">
        <v>0.324</v>
      </c>
      <c r="M36" s="18" t="n">
        <v>0.322</v>
      </c>
      <c r="N36" s="18" t="n">
        <v>0.32</v>
      </c>
      <c r="O36" s="18" t="n">
        <v>0.319</v>
      </c>
      <c r="P36" s="25" t="n">
        <v>0.318</v>
      </c>
    </row>
    <row r="37" customFormat="false" ht="15" hidden="false" customHeight="true" outlineLevel="0" collapsed="false">
      <c r="A37" s="10" t="s">
        <v>31</v>
      </c>
      <c r="G37" s="18" t="n">
        <v>0.145</v>
      </c>
      <c r="H37" s="18" t="n">
        <v>0.144</v>
      </c>
      <c r="I37" s="18" t="n">
        <v>0.143</v>
      </c>
      <c r="J37" s="18" t="n">
        <v>0.142</v>
      </c>
      <c r="K37" s="18" t="n">
        <v>0.141</v>
      </c>
      <c r="L37" s="18" t="n">
        <v>0.14</v>
      </c>
      <c r="M37" s="18" t="n">
        <v>0.139</v>
      </c>
      <c r="N37" s="18" t="n">
        <v>0.138</v>
      </c>
      <c r="O37" s="18" t="n">
        <v>0.138</v>
      </c>
      <c r="P37" s="25" t="n">
        <v>0.137</v>
      </c>
    </row>
    <row r="38" customFormat="false" ht="15" hidden="false" customHeight="true" outlineLevel="0" collapsed="false">
      <c r="A38" s="10" t="s">
        <v>32</v>
      </c>
      <c r="G38" s="18" t="n">
        <v>0.069</v>
      </c>
      <c r="H38" s="18" t="n">
        <v>0.068</v>
      </c>
      <c r="I38" s="18" t="n">
        <v>0.067</v>
      </c>
      <c r="J38" s="18" t="n">
        <v>0.066</v>
      </c>
      <c r="K38" s="18" t="n">
        <v>0.065</v>
      </c>
      <c r="L38" s="18" t="n">
        <v>0.064</v>
      </c>
      <c r="M38" s="18" t="n">
        <v>0.063</v>
      </c>
      <c r="N38" s="18" t="n">
        <v>0.063</v>
      </c>
      <c r="O38" s="18" t="n">
        <v>0.062</v>
      </c>
      <c r="P38" s="25" t="n">
        <v>0.062</v>
      </c>
    </row>
    <row r="39" customFormat="false" ht="15" hidden="false" customHeight="true" outlineLevel="0" collapsed="false">
      <c r="A39" s="10" t="s">
        <v>33</v>
      </c>
      <c r="G39" s="18" t="n">
        <v>0.047</v>
      </c>
      <c r="H39" s="18" t="n">
        <v>0.045</v>
      </c>
      <c r="I39" s="18" t="n">
        <v>0.044</v>
      </c>
      <c r="J39" s="18" t="n">
        <v>0.043</v>
      </c>
      <c r="K39" s="18" t="n">
        <v>0.042</v>
      </c>
      <c r="L39" s="18" t="n">
        <v>0.041</v>
      </c>
      <c r="M39" s="18" t="n">
        <v>0.04</v>
      </c>
      <c r="N39" s="18" t="n">
        <v>0.04</v>
      </c>
      <c r="O39" s="18" t="n">
        <v>0.039</v>
      </c>
      <c r="P39" s="25" t="n">
        <v>0.039</v>
      </c>
    </row>
    <row r="40" customFormat="false" ht="15" hidden="false" customHeight="true" outlineLevel="0" collapsed="false">
      <c r="A40" s="10" t="s">
        <v>34</v>
      </c>
      <c r="G40" s="18" t="n">
        <v>0.13</v>
      </c>
      <c r="H40" s="18" t="n">
        <v>0.15</v>
      </c>
      <c r="I40" s="18" t="n">
        <v>0.165</v>
      </c>
      <c r="J40" s="18" t="n">
        <v>0.175</v>
      </c>
      <c r="K40" s="18" t="n">
        <v>0.18</v>
      </c>
      <c r="L40" s="18" t="n">
        <v>0.18</v>
      </c>
      <c r="M40" s="18" t="n">
        <v>0.175</v>
      </c>
      <c r="N40" s="18" t="n">
        <v>0.17</v>
      </c>
      <c r="O40" s="18" t="n">
        <v>0.165</v>
      </c>
      <c r="P40" s="25" t="n">
        <v>0.16</v>
      </c>
    </row>
    <row r="41" customFormat="false" ht="15" hidden="false" customHeight="true" outlineLevel="0" collapsed="false">
      <c r="A41" s="10" t="s">
        <v>35</v>
      </c>
      <c r="G41" s="15" t="n">
        <v>200000</v>
      </c>
      <c r="H41" s="15" t="n">
        <v>260000</v>
      </c>
      <c r="I41" s="15" t="n">
        <v>290000</v>
      </c>
      <c r="J41" s="15" t="n">
        <v>300000</v>
      </c>
      <c r="K41" s="15" t="n">
        <v>305000</v>
      </c>
      <c r="L41" s="15" t="n">
        <v>295000</v>
      </c>
      <c r="M41" s="15" t="n">
        <v>285000</v>
      </c>
      <c r="N41" s="15" t="n">
        <v>280000</v>
      </c>
      <c r="O41" s="15" t="n">
        <v>275000</v>
      </c>
      <c r="P41" s="26" t="n">
        <v>275000</v>
      </c>
    </row>
    <row r="42" customFormat="false" ht="15" hidden="false" customHeight="true" outlineLevel="0" collapsed="false">
      <c r="A42" s="10" t="s">
        <v>36</v>
      </c>
      <c r="G42" s="18" t="n">
        <v>0.19</v>
      </c>
      <c r="H42" s="18" t="n">
        <v>0.19</v>
      </c>
      <c r="I42" s="18" t="n">
        <v>0.19</v>
      </c>
      <c r="J42" s="18" t="n">
        <v>0.19</v>
      </c>
      <c r="K42" s="18" t="n">
        <v>0.19</v>
      </c>
      <c r="L42" s="18" t="n">
        <v>0.19</v>
      </c>
      <c r="M42" s="18" t="n">
        <v>0.19</v>
      </c>
      <c r="N42" s="18" t="n">
        <v>0.19</v>
      </c>
      <c r="O42" s="18" t="n">
        <v>0.19</v>
      </c>
      <c r="P42" s="25" t="n">
        <v>0.19</v>
      </c>
    </row>
    <row r="43" customFormat="false" ht="15" hidden="false" customHeight="true" outlineLevel="0" collapsed="false">
      <c r="A43" s="10" t="s">
        <v>37</v>
      </c>
      <c r="G43" s="18" t="n">
        <v>0.03</v>
      </c>
      <c r="P43" s="12"/>
    </row>
    <row r="44" customFormat="false" ht="15" hidden="false" customHeight="true" outlineLevel="0" collapsed="false">
      <c r="A44" s="6" t="s">
        <v>38</v>
      </c>
      <c r="B44" s="20"/>
      <c r="C44" s="20"/>
      <c r="D44" s="20"/>
      <c r="E44" s="20"/>
      <c r="F44" s="20"/>
      <c r="G44" s="27" t="n">
        <v>0</v>
      </c>
      <c r="H44" s="20"/>
      <c r="I44" s="20"/>
      <c r="J44" s="20"/>
      <c r="K44" s="20"/>
      <c r="L44" s="20"/>
      <c r="M44" s="20"/>
      <c r="N44" s="20"/>
      <c r="O44" s="20"/>
      <c r="P44" s="9"/>
    </row>
    <row r="46" customFormat="false" ht="15" hidden="false" customHeight="true" outlineLevel="0" collapsed="false">
      <c r="A46" s="5" t="s">
        <v>40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</row>
    <row r="47" customFormat="false" ht="15" hidden="false" customHeight="true" outlineLevel="0" collapsed="false">
      <c r="A47" s="21" t="s">
        <v>18</v>
      </c>
      <c r="B47" s="22"/>
      <c r="C47" s="22"/>
      <c r="D47" s="22"/>
      <c r="E47" s="22"/>
      <c r="F47" s="22"/>
      <c r="G47" s="23" t="s">
        <v>19</v>
      </c>
      <c r="H47" s="23" t="s">
        <v>20</v>
      </c>
      <c r="I47" s="23" t="s">
        <v>21</v>
      </c>
      <c r="J47" s="23" t="s">
        <v>22</v>
      </c>
      <c r="K47" s="23" t="s">
        <v>23</v>
      </c>
      <c r="L47" s="23" t="s">
        <v>24</v>
      </c>
      <c r="M47" s="23" t="s">
        <v>25</v>
      </c>
      <c r="N47" s="23" t="s">
        <v>26</v>
      </c>
      <c r="O47" s="23" t="s">
        <v>27</v>
      </c>
      <c r="P47" s="24" t="s">
        <v>28</v>
      </c>
    </row>
    <row r="48" customFormat="false" ht="15" hidden="false" customHeight="true" outlineLevel="0" collapsed="false">
      <c r="A48" s="10" t="s">
        <v>29</v>
      </c>
      <c r="G48" s="18" t="n">
        <v>0.235</v>
      </c>
      <c r="H48" s="18" t="n">
        <v>0.205</v>
      </c>
      <c r="I48" s="18" t="n">
        <v>0.18</v>
      </c>
      <c r="J48" s="18" t="n">
        <v>0.155</v>
      </c>
      <c r="K48" s="18" t="n">
        <v>0.14</v>
      </c>
      <c r="L48" s="18" t="n">
        <v>0.12</v>
      </c>
      <c r="M48" s="18" t="n">
        <v>0.105</v>
      </c>
      <c r="N48" s="18" t="n">
        <v>0.09</v>
      </c>
      <c r="O48" s="18" t="n">
        <v>0.075</v>
      </c>
      <c r="P48" s="25" t="n">
        <v>0.06</v>
      </c>
    </row>
    <row r="49" customFormat="false" ht="15" hidden="false" customHeight="true" outlineLevel="0" collapsed="false">
      <c r="A49" s="10" t="s">
        <v>30</v>
      </c>
      <c r="G49" s="18" t="n">
        <v>0.33</v>
      </c>
      <c r="H49" s="18" t="n">
        <v>0.322</v>
      </c>
      <c r="I49" s="18" t="n">
        <v>0.315</v>
      </c>
      <c r="J49" s="18" t="n">
        <v>0.31</v>
      </c>
      <c r="K49" s="18" t="n">
        <v>0.305</v>
      </c>
      <c r="L49" s="18" t="n">
        <v>0.302</v>
      </c>
      <c r="M49" s="18" t="n">
        <v>0.3</v>
      </c>
      <c r="N49" s="18" t="n">
        <v>0.298</v>
      </c>
      <c r="O49" s="18" t="n">
        <v>0.296</v>
      </c>
      <c r="P49" s="25" t="n">
        <v>0.295</v>
      </c>
    </row>
    <row r="50" customFormat="false" ht="15" hidden="false" customHeight="true" outlineLevel="0" collapsed="false">
      <c r="A50" s="10" t="s">
        <v>31</v>
      </c>
      <c r="G50" s="18" t="n">
        <v>0.143</v>
      </c>
      <c r="H50" s="18" t="n">
        <v>0.14</v>
      </c>
      <c r="I50" s="18" t="n">
        <v>0.137</v>
      </c>
      <c r="J50" s="18" t="n">
        <v>0.135</v>
      </c>
      <c r="K50" s="18" t="n">
        <v>0.133</v>
      </c>
      <c r="L50" s="18" t="n">
        <v>0.132</v>
      </c>
      <c r="M50" s="18" t="n">
        <v>0.131</v>
      </c>
      <c r="N50" s="18" t="n">
        <v>0.13</v>
      </c>
      <c r="O50" s="18" t="n">
        <v>0.129</v>
      </c>
      <c r="P50" s="25" t="n">
        <v>0.128</v>
      </c>
    </row>
    <row r="51" customFormat="false" ht="15" hidden="false" customHeight="true" outlineLevel="0" collapsed="false">
      <c r="A51" s="10" t="s">
        <v>32</v>
      </c>
      <c r="G51" s="18" t="n">
        <v>0.068</v>
      </c>
      <c r="H51" s="18" t="n">
        <v>0.066</v>
      </c>
      <c r="I51" s="18" t="n">
        <v>0.064</v>
      </c>
      <c r="J51" s="18" t="n">
        <v>0.063</v>
      </c>
      <c r="K51" s="18" t="n">
        <v>0.062</v>
      </c>
      <c r="L51" s="18" t="n">
        <v>0.061</v>
      </c>
      <c r="M51" s="18" t="n">
        <v>0.06</v>
      </c>
      <c r="N51" s="18" t="n">
        <v>0.06</v>
      </c>
      <c r="O51" s="18" t="n">
        <v>0.059</v>
      </c>
      <c r="P51" s="25" t="n">
        <v>0.059</v>
      </c>
    </row>
    <row r="52" customFormat="false" ht="15" hidden="false" customHeight="true" outlineLevel="0" collapsed="false">
      <c r="A52" s="10" t="s">
        <v>33</v>
      </c>
      <c r="G52" s="18" t="n">
        <v>0.046</v>
      </c>
      <c r="H52" s="18" t="n">
        <v>0.043</v>
      </c>
      <c r="I52" s="18" t="n">
        <v>0.041</v>
      </c>
      <c r="J52" s="18" t="n">
        <v>0.04</v>
      </c>
      <c r="K52" s="18" t="n">
        <v>0.039</v>
      </c>
      <c r="L52" s="18" t="n">
        <v>0.038</v>
      </c>
      <c r="M52" s="18" t="n">
        <v>0.038</v>
      </c>
      <c r="N52" s="18" t="n">
        <v>0.037</v>
      </c>
      <c r="O52" s="18" t="n">
        <v>0.037</v>
      </c>
      <c r="P52" s="25" t="n">
        <v>0.036</v>
      </c>
    </row>
    <row r="53" customFormat="false" ht="15" hidden="false" customHeight="true" outlineLevel="0" collapsed="false">
      <c r="A53" s="10" t="s">
        <v>34</v>
      </c>
      <c r="G53" s="18" t="n">
        <v>0.128</v>
      </c>
      <c r="H53" s="18" t="n">
        <v>0.143</v>
      </c>
      <c r="I53" s="18" t="n">
        <v>0.153</v>
      </c>
      <c r="J53" s="18" t="n">
        <v>0.16</v>
      </c>
      <c r="K53" s="18" t="n">
        <v>0.163</v>
      </c>
      <c r="L53" s="18" t="n">
        <v>0.163</v>
      </c>
      <c r="M53" s="18" t="n">
        <v>0.16</v>
      </c>
      <c r="N53" s="18" t="n">
        <v>0.157</v>
      </c>
      <c r="O53" s="18" t="n">
        <v>0.154</v>
      </c>
      <c r="P53" s="25" t="n">
        <v>0.15</v>
      </c>
    </row>
    <row r="54" customFormat="false" ht="15" hidden="false" customHeight="true" outlineLevel="0" collapsed="false">
      <c r="A54" s="10" t="s">
        <v>35</v>
      </c>
      <c r="G54" s="15" t="n">
        <v>200000</v>
      </c>
      <c r="H54" s="15" t="n">
        <v>255000</v>
      </c>
      <c r="I54" s="15" t="n">
        <v>275000</v>
      </c>
      <c r="J54" s="15" t="n">
        <v>290000</v>
      </c>
      <c r="K54" s="15" t="n">
        <v>295000</v>
      </c>
      <c r="L54" s="15" t="n">
        <v>300000</v>
      </c>
      <c r="M54" s="15" t="n">
        <v>305000</v>
      </c>
      <c r="N54" s="15" t="n">
        <v>305000</v>
      </c>
      <c r="O54" s="15" t="n">
        <v>310000</v>
      </c>
      <c r="P54" s="26" t="n">
        <v>315000</v>
      </c>
    </row>
    <row r="55" customFormat="false" ht="15" hidden="false" customHeight="true" outlineLevel="0" collapsed="false">
      <c r="A55" s="10" t="s">
        <v>36</v>
      </c>
      <c r="G55" s="18" t="n">
        <v>0.185</v>
      </c>
      <c r="H55" s="18" t="n">
        <v>0.183</v>
      </c>
      <c r="I55" s="18" t="n">
        <v>0.18</v>
      </c>
      <c r="J55" s="18" t="n">
        <v>0.18</v>
      </c>
      <c r="K55" s="18" t="n">
        <v>0.18</v>
      </c>
      <c r="L55" s="18" t="n">
        <v>0.18</v>
      </c>
      <c r="M55" s="18" t="n">
        <v>0.18</v>
      </c>
      <c r="N55" s="18" t="n">
        <v>0.18</v>
      </c>
      <c r="O55" s="18" t="n">
        <v>0.18</v>
      </c>
      <c r="P55" s="25" t="n">
        <v>0.18</v>
      </c>
    </row>
    <row r="56" customFormat="false" ht="15" hidden="false" customHeight="true" outlineLevel="0" collapsed="false">
      <c r="A56" s="10" t="s">
        <v>37</v>
      </c>
      <c r="G56" s="18" t="n">
        <v>0.035</v>
      </c>
      <c r="P56" s="12"/>
    </row>
    <row r="57" customFormat="false" ht="15" hidden="false" customHeight="true" outlineLevel="0" collapsed="false">
      <c r="A57" s="6" t="s">
        <v>38</v>
      </c>
      <c r="B57" s="20"/>
      <c r="C57" s="20"/>
      <c r="D57" s="20"/>
      <c r="E57" s="20"/>
      <c r="F57" s="20"/>
      <c r="G57" s="27" t="n">
        <v>-0.0075</v>
      </c>
      <c r="H57" s="20"/>
      <c r="I57" s="20"/>
      <c r="J57" s="20"/>
      <c r="K57" s="20"/>
      <c r="L57" s="20"/>
      <c r="M57" s="20"/>
      <c r="N57" s="20"/>
      <c r="O57" s="20"/>
      <c r="P57" s="9"/>
    </row>
    <row r="59" customFormat="false" ht="15" hidden="false" customHeight="true" outlineLevel="0" collapsed="false">
      <c r="A59" s="5" t="s">
        <v>41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</row>
    <row r="60" customFormat="false" ht="15" hidden="false" customHeight="true" outlineLevel="0" collapsed="false">
      <c r="A60" s="21" t="s">
        <v>18</v>
      </c>
      <c r="B60" s="22"/>
      <c r="C60" s="22"/>
      <c r="D60" s="22"/>
      <c r="E60" s="22"/>
      <c r="F60" s="22"/>
      <c r="G60" s="23" t="s">
        <v>19</v>
      </c>
      <c r="H60" s="23" t="s">
        <v>20</v>
      </c>
      <c r="I60" s="23" t="s">
        <v>21</v>
      </c>
      <c r="J60" s="23" t="s">
        <v>22</v>
      </c>
      <c r="K60" s="23" t="s">
        <v>23</v>
      </c>
      <c r="L60" s="23" t="s">
        <v>24</v>
      </c>
      <c r="M60" s="23" t="s">
        <v>25</v>
      </c>
      <c r="N60" s="23" t="s">
        <v>26</v>
      </c>
      <c r="O60" s="23" t="s">
        <v>27</v>
      </c>
      <c r="P60" s="24" t="s">
        <v>28</v>
      </c>
    </row>
    <row r="61" customFormat="false" ht="15" hidden="false" customHeight="true" outlineLevel="0" collapsed="false">
      <c r="A61" s="28" t="s">
        <v>29</v>
      </c>
      <c r="G61" s="29" t="n">
        <f aca="false">CHOOSE($B$7,G22,G35,G48)</f>
        <v>0.21</v>
      </c>
      <c r="H61" s="29" t="n">
        <f aca="false">CHOOSE($B$7,H22,H35,H48)</f>
        <v>0.17</v>
      </c>
      <c r="I61" s="29" t="n">
        <f aca="false">CHOOSE($B$7,I22,I35,I48)</f>
        <v>0.14</v>
      </c>
      <c r="J61" s="29" t="n">
        <f aca="false">CHOOSE($B$7,J22,J35,J48)</f>
        <v>0.12</v>
      </c>
      <c r="K61" s="29" t="n">
        <f aca="false">CHOOSE($B$7,K22,K35,K48)</f>
        <v>0.11</v>
      </c>
      <c r="L61" s="29" t="n">
        <f aca="false">CHOOSE($B$7,L22,L35,L48)</f>
        <v>0.095</v>
      </c>
      <c r="M61" s="29" t="n">
        <f aca="false">CHOOSE($B$7,M22,M35,M48)</f>
        <v>0.08</v>
      </c>
      <c r="N61" s="29" t="n">
        <f aca="false">CHOOSE($B$7,N22,N35,N48)</f>
        <v>0.07</v>
      </c>
      <c r="O61" s="29" t="n">
        <f aca="false">CHOOSE($B$7,O22,O35,O48)</f>
        <v>0.06</v>
      </c>
      <c r="P61" s="30" t="n">
        <f aca="false">CHOOSE($B$7,P22,P35,P48)</f>
        <v>0.05</v>
      </c>
    </row>
    <row r="62" customFormat="false" ht="15" hidden="false" customHeight="true" outlineLevel="0" collapsed="false">
      <c r="A62" s="28" t="s">
        <v>30</v>
      </c>
      <c r="G62" s="29" t="n">
        <f aca="false">CHOOSE($B$7,G23,G36,G49)</f>
        <v>0.335</v>
      </c>
      <c r="H62" s="29" t="n">
        <f aca="false">CHOOSE($B$7,H23,H36,H49)</f>
        <v>0.332</v>
      </c>
      <c r="I62" s="29" t="n">
        <f aca="false">CHOOSE($B$7,I23,I36,I49)</f>
        <v>0.33</v>
      </c>
      <c r="J62" s="29" t="n">
        <f aca="false">CHOOSE($B$7,J23,J36,J49)</f>
        <v>0.328</v>
      </c>
      <c r="K62" s="29" t="n">
        <f aca="false">CHOOSE($B$7,K23,K36,K49)</f>
        <v>0.326</v>
      </c>
      <c r="L62" s="29" t="n">
        <f aca="false">CHOOSE($B$7,L23,L36,L49)</f>
        <v>0.324</v>
      </c>
      <c r="M62" s="29" t="n">
        <f aca="false">CHOOSE($B$7,M23,M36,M49)</f>
        <v>0.322</v>
      </c>
      <c r="N62" s="29" t="n">
        <f aca="false">CHOOSE($B$7,N23,N36,N49)</f>
        <v>0.32</v>
      </c>
      <c r="O62" s="29" t="n">
        <f aca="false">CHOOSE($B$7,O23,O36,O49)</f>
        <v>0.319</v>
      </c>
      <c r="P62" s="30" t="n">
        <f aca="false">CHOOSE($B$7,P23,P36,P49)</f>
        <v>0.318</v>
      </c>
    </row>
    <row r="63" customFormat="false" ht="15" hidden="false" customHeight="true" outlineLevel="0" collapsed="false">
      <c r="A63" s="28" t="s">
        <v>31</v>
      </c>
      <c r="G63" s="29" t="n">
        <f aca="false">CHOOSE($B$7,G24,G37,G50)</f>
        <v>0.145</v>
      </c>
      <c r="H63" s="29" t="n">
        <f aca="false">CHOOSE($B$7,H24,H37,H50)</f>
        <v>0.144</v>
      </c>
      <c r="I63" s="29" t="n">
        <f aca="false">CHOOSE($B$7,I24,I37,I50)</f>
        <v>0.143</v>
      </c>
      <c r="J63" s="29" t="n">
        <f aca="false">CHOOSE($B$7,J24,J37,J50)</f>
        <v>0.142</v>
      </c>
      <c r="K63" s="29" t="n">
        <f aca="false">CHOOSE($B$7,K24,K37,K50)</f>
        <v>0.141</v>
      </c>
      <c r="L63" s="29" t="n">
        <f aca="false">CHOOSE($B$7,L24,L37,L50)</f>
        <v>0.14</v>
      </c>
      <c r="M63" s="29" t="n">
        <f aca="false">CHOOSE($B$7,M24,M37,M50)</f>
        <v>0.139</v>
      </c>
      <c r="N63" s="29" t="n">
        <f aca="false">CHOOSE($B$7,N24,N37,N50)</f>
        <v>0.138</v>
      </c>
      <c r="O63" s="29" t="n">
        <f aca="false">CHOOSE($B$7,O24,O37,O50)</f>
        <v>0.138</v>
      </c>
      <c r="P63" s="30" t="n">
        <f aca="false">CHOOSE($B$7,P24,P37,P50)</f>
        <v>0.137</v>
      </c>
    </row>
    <row r="64" customFormat="false" ht="15" hidden="false" customHeight="true" outlineLevel="0" collapsed="false">
      <c r="A64" s="28" t="s">
        <v>32</v>
      </c>
      <c r="G64" s="29" t="n">
        <f aca="false">CHOOSE($B$7,G25,G38,G51)</f>
        <v>0.069</v>
      </c>
      <c r="H64" s="29" t="n">
        <f aca="false">CHOOSE($B$7,H25,H38,H51)</f>
        <v>0.068</v>
      </c>
      <c r="I64" s="29" t="n">
        <f aca="false">CHOOSE($B$7,I25,I38,I51)</f>
        <v>0.067</v>
      </c>
      <c r="J64" s="29" t="n">
        <f aca="false">CHOOSE($B$7,J25,J38,J51)</f>
        <v>0.066</v>
      </c>
      <c r="K64" s="29" t="n">
        <f aca="false">CHOOSE($B$7,K25,K38,K51)</f>
        <v>0.065</v>
      </c>
      <c r="L64" s="29" t="n">
        <f aca="false">CHOOSE($B$7,L25,L38,L51)</f>
        <v>0.064</v>
      </c>
      <c r="M64" s="29" t="n">
        <f aca="false">CHOOSE($B$7,M25,M38,M51)</f>
        <v>0.063</v>
      </c>
      <c r="N64" s="29" t="n">
        <f aca="false">CHOOSE($B$7,N25,N38,N51)</f>
        <v>0.063</v>
      </c>
      <c r="O64" s="29" t="n">
        <f aca="false">CHOOSE($B$7,O25,O38,O51)</f>
        <v>0.062</v>
      </c>
      <c r="P64" s="30" t="n">
        <f aca="false">CHOOSE($B$7,P25,P38,P51)</f>
        <v>0.062</v>
      </c>
    </row>
    <row r="65" customFormat="false" ht="15" hidden="false" customHeight="true" outlineLevel="0" collapsed="false">
      <c r="A65" s="28" t="s">
        <v>33</v>
      </c>
      <c r="G65" s="29" t="n">
        <f aca="false">CHOOSE($B$7,G26,G39,G52)</f>
        <v>0.047</v>
      </c>
      <c r="H65" s="29" t="n">
        <f aca="false">CHOOSE($B$7,H26,H39,H52)</f>
        <v>0.045</v>
      </c>
      <c r="I65" s="29" t="n">
        <f aca="false">CHOOSE($B$7,I26,I39,I52)</f>
        <v>0.044</v>
      </c>
      <c r="J65" s="29" t="n">
        <f aca="false">CHOOSE($B$7,J26,J39,J52)</f>
        <v>0.043</v>
      </c>
      <c r="K65" s="29" t="n">
        <f aca="false">CHOOSE($B$7,K26,K39,K52)</f>
        <v>0.042</v>
      </c>
      <c r="L65" s="29" t="n">
        <f aca="false">CHOOSE($B$7,L26,L39,L52)</f>
        <v>0.041</v>
      </c>
      <c r="M65" s="29" t="n">
        <f aca="false">CHOOSE($B$7,M26,M39,M52)</f>
        <v>0.04</v>
      </c>
      <c r="N65" s="29" t="n">
        <f aca="false">CHOOSE($B$7,N26,N39,N52)</f>
        <v>0.04</v>
      </c>
      <c r="O65" s="29" t="n">
        <f aca="false">CHOOSE($B$7,O26,O39,O52)</f>
        <v>0.039</v>
      </c>
      <c r="P65" s="30" t="n">
        <f aca="false">CHOOSE($B$7,P26,P39,P52)</f>
        <v>0.039</v>
      </c>
    </row>
    <row r="66" customFormat="false" ht="15" hidden="false" customHeight="true" outlineLevel="0" collapsed="false">
      <c r="A66" s="28" t="s">
        <v>34</v>
      </c>
      <c r="G66" s="29" t="n">
        <f aca="false">CHOOSE($B$7,G27,G40,G53)</f>
        <v>0.13</v>
      </c>
      <c r="H66" s="29" t="n">
        <f aca="false">CHOOSE($B$7,H27,H40,H53)</f>
        <v>0.15</v>
      </c>
      <c r="I66" s="29" t="n">
        <f aca="false">CHOOSE($B$7,I27,I40,I53)</f>
        <v>0.165</v>
      </c>
      <c r="J66" s="29" t="n">
        <f aca="false">CHOOSE($B$7,J27,J40,J53)</f>
        <v>0.175</v>
      </c>
      <c r="K66" s="29" t="n">
        <f aca="false">CHOOSE($B$7,K27,K40,K53)</f>
        <v>0.18</v>
      </c>
      <c r="L66" s="29" t="n">
        <f aca="false">CHOOSE($B$7,L27,L40,L53)</f>
        <v>0.18</v>
      </c>
      <c r="M66" s="29" t="n">
        <f aca="false">CHOOSE($B$7,M27,M40,M53)</f>
        <v>0.175</v>
      </c>
      <c r="N66" s="29" t="n">
        <f aca="false">CHOOSE($B$7,N27,N40,N53)</f>
        <v>0.17</v>
      </c>
      <c r="O66" s="29" t="n">
        <f aca="false">CHOOSE($B$7,O27,O40,O53)</f>
        <v>0.165</v>
      </c>
      <c r="P66" s="30" t="n">
        <f aca="false">CHOOSE($B$7,P27,P40,P53)</f>
        <v>0.16</v>
      </c>
    </row>
    <row r="67" customFormat="false" ht="15" hidden="false" customHeight="true" outlineLevel="0" collapsed="false">
      <c r="A67" s="28" t="s">
        <v>35</v>
      </c>
      <c r="G67" s="31" t="n">
        <f aca="false">CHOOSE($B$7,G28,G41,G54)</f>
        <v>200000</v>
      </c>
      <c r="H67" s="31" t="n">
        <f aca="false">CHOOSE($B$7,H28,H41,H54)</f>
        <v>260000</v>
      </c>
      <c r="I67" s="31" t="n">
        <f aca="false">CHOOSE($B$7,I28,I41,I54)</f>
        <v>290000</v>
      </c>
      <c r="J67" s="31" t="n">
        <f aca="false">CHOOSE($B$7,J28,J41,J54)</f>
        <v>300000</v>
      </c>
      <c r="K67" s="31" t="n">
        <f aca="false">CHOOSE($B$7,K28,K41,K54)</f>
        <v>305000</v>
      </c>
      <c r="L67" s="31" t="n">
        <f aca="false">CHOOSE($B$7,L28,L41,L54)</f>
        <v>295000</v>
      </c>
      <c r="M67" s="31" t="n">
        <f aca="false">CHOOSE($B$7,M28,M41,M54)</f>
        <v>285000</v>
      </c>
      <c r="N67" s="31" t="n">
        <f aca="false">CHOOSE($B$7,N28,N41,N54)</f>
        <v>280000</v>
      </c>
      <c r="O67" s="31" t="n">
        <f aca="false">CHOOSE($B$7,O28,O41,O54)</f>
        <v>275000</v>
      </c>
      <c r="P67" s="32" t="n">
        <f aca="false">CHOOSE($B$7,P28,P41,P54)</f>
        <v>275000</v>
      </c>
    </row>
    <row r="68" customFormat="false" ht="15" hidden="false" customHeight="true" outlineLevel="0" collapsed="false">
      <c r="A68" s="28" t="s">
        <v>36</v>
      </c>
      <c r="G68" s="29" t="n">
        <f aca="false">CHOOSE($B$7,G29,G42,G55)</f>
        <v>0.19</v>
      </c>
      <c r="H68" s="29" t="n">
        <f aca="false">CHOOSE($B$7,H29,H42,H55)</f>
        <v>0.19</v>
      </c>
      <c r="I68" s="29" t="n">
        <f aca="false">CHOOSE($B$7,I29,I42,I55)</f>
        <v>0.19</v>
      </c>
      <c r="J68" s="29" t="n">
        <f aca="false">CHOOSE($B$7,J29,J42,J55)</f>
        <v>0.19</v>
      </c>
      <c r="K68" s="29" t="n">
        <f aca="false">CHOOSE($B$7,K29,K42,K55)</f>
        <v>0.19</v>
      </c>
      <c r="L68" s="29" t="n">
        <f aca="false">CHOOSE($B$7,L29,L42,L55)</f>
        <v>0.19</v>
      </c>
      <c r="M68" s="29" t="n">
        <f aca="false">CHOOSE($B$7,M29,M42,M55)</f>
        <v>0.19</v>
      </c>
      <c r="N68" s="29" t="n">
        <f aca="false">CHOOSE($B$7,N29,N42,N55)</f>
        <v>0.19</v>
      </c>
      <c r="O68" s="29" t="n">
        <f aca="false">CHOOSE($B$7,O29,O42,O55)</f>
        <v>0.19</v>
      </c>
      <c r="P68" s="30" t="n">
        <f aca="false">CHOOSE($B$7,P29,P42,P55)</f>
        <v>0.19</v>
      </c>
    </row>
    <row r="69" customFormat="false" ht="15" hidden="false" customHeight="true" outlineLevel="0" collapsed="false">
      <c r="A69" s="28" t="s">
        <v>37</v>
      </c>
      <c r="G69" s="29" t="n">
        <f aca="false">CHOOSE($B$7,$G$30,$G$43,$G$56)</f>
        <v>0.03</v>
      </c>
      <c r="P69" s="12"/>
    </row>
    <row r="70" customFormat="false" ht="15" hidden="false" customHeight="true" outlineLevel="0" collapsed="false">
      <c r="A70" s="33" t="s">
        <v>42</v>
      </c>
      <c r="B70" s="20"/>
      <c r="C70" s="20"/>
      <c r="D70" s="20"/>
      <c r="E70" s="20"/>
      <c r="F70" s="20"/>
      <c r="G70" s="34" t="n">
        <f aca="false">$B$16+CHOOSE($B$7,$G$31,$G$44,$G$57)</f>
        <v>0.0925</v>
      </c>
      <c r="H70" s="20"/>
      <c r="I70" s="20"/>
      <c r="J70" s="20"/>
      <c r="K70" s="20"/>
      <c r="L70" s="20"/>
      <c r="M70" s="20"/>
      <c r="N70" s="20"/>
      <c r="O70" s="20"/>
      <c r="P70" s="9"/>
    </row>
    <row r="72" customFormat="false" ht="15" hidden="false" customHeight="true" outlineLevel="0" collapsed="false">
      <c r="A72" s="5" t="s">
        <v>43</v>
      </c>
      <c r="B72" s="5"/>
      <c r="C72" s="5"/>
      <c r="D72" s="5"/>
      <c r="E72" s="5"/>
      <c r="F72" s="5"/>
    </row>
    <row r="73" customFormat="false" ht="15" hidden="false" customHeight="true" outlineLevel="0" collapsed="false">
      <c r="A73" s="21" t="s">
        <v>44</v>
      </c>
      <c r="B73" s="23" t="s">
        <v>45</v>
      </c>
      <c r="C73" s="23" t="s">
        <v>46</v>
      </c>
      <c r="D73" s="23" t="s">
        <v>47</v>
      </c>
      <c r="E73" s="23" t="s">
        <v>48</v>
      </c>
      <c r="F73" s="24" t="s">
        <v>49</v>
      </c>
    </row>
    <row r="74" customFormat="false" ht="15" hidden="false" customHeight="true" outlineLevel="0" collapsed="false">
      <c r="A74" s="10" t="s">
        <v>50</v>
      </c>
      <c r="B74" s="15" t="n">
        <v>257637</v>
      </c>
      <c r="C74" s="15" t="n">
        <v>282836</v>
      </c>
      <c r="D74" s="15" t="n">
        <v>307394</v>
      </c>
      <c r="E74" s="15" t="n">
        <v>350018</v>
      </c>
      <c r="F74" s="26" t="n">
        <v>402836</v>
      </c>
    </row>
    <row r="75" customFormat="false" ht="15" hidden="false" customHeight="true" outlineLevel="0" collapsed="false">
      <c r="A75" s="10" t="s">
        <v>51</v>
      </c>
      <c r="B75" s="15" t="n">
        <v>110939</v>
      </c>
      <c r="C75" s="15" t="n">
        <v>126203</v>
      </c>
      <c r="D75" s="15" t="n">
        <v>133332</v>
      </c>
      <c r="E75" s="15" t="n">
        <v>146306</v>
      </c>
      <c r="F75" s="26" t="n">
        <v>162535</v>
      </c>
    </row>
    <row r="76" customFormat="false" ht="15" hidden="false" customHeight="true" outlineLevel="0" collapsed="false">
      <c r="A76" s="10" t="s">
        <v>52</v>
      </c>
      <c r="B76" s="15" t="n">
        <v>31562</v>
      </c>
      <c r="C76" s="15" t="n">
        <v>39500</v>
      </c>
      <c r="D76" s="15" t="n">
        <v>45427</v>
      </c>
      <c r="E76" s="15" t="n">
        <v>49326</v>
      </c>
      <c r="F76" s="26" t="n">
        <v>61087</v>
      </c>
    </row>
    <row r="77" customFormat="false" ht="15" hidden="false" customHeight="true" outlineLevel="0" collapsed="false">
      <c r="A77" s="10" t="s">
        <v>53</v>
      </c>
      <c r="B77" s="15" t="n">
        <v>22912</v>
      </c>
      <c r="C77" s="15" t="n">
        <v>26567</v>
      </c>
      <c r="D77" s="15" t="n">
        <v>27917</v>
      </c>
      <c r="E77" s="15" t="n">
        <v>27808</v>
      </c>
      <c r="F77" s="26" t="n">
        <v>28693</v>
      </c>
    </row>
    <row r="78" customFormat="false" ht="15" hidden="false" customHeight="true" outlineLevel="0" collapsed="false">
      <c r="A78" s="10" t="s">
        <v>54</v>
      </c>
      <c r="B78" s="15" t="n">
        <v>13510</v>
      </c>
      <c r="C78" s="15" t="n">
        <v>15724</v>
      </c>
      <c r="D78" s="15" t="n">
        <v>16425</v>
      </c>
      <c r="E78" s="15" t="n">
        <v>14188</v>
      </c>
      <c r="F78" s="26" t="n">
        <v>21482</v>
      </c>
    </row>
    <row r="79" customFormat="false" ht="15" hidden="false" customHeight="true" outlineLevel="0" collapsed="false">
      <c r="A79" s="10" t="s">
        <v>55</v>
      </c>
      <c r="B79" s="15" t="n">
        <v>78714</v>
      </c>
      <c r="C79" s="15" t="n">
        <v>74842</v>
      </c>
      <c r="D79" s="15" t="n">
        <v>84293</v>
      </c>
      <c r="E79" s="15" t="n">
        <v>112390</v>
      </c>
      <c r="F79" s="26" t="n">
        <v>129039</v>
      </c>
    </row>
    <row r="80" customFormat="false" ht="15" hidden="false" customHeight="true" outlineLevel="0" collapsed="false">
      <c r="A80" s="10" t="s">
        <v>56</v>
      </c>
      <c r="B80" s="15" t="n">
        <v>10273</v>
      </c>
      <c r="C80" s="15" t="n">
        <v>13475</v>
      </c>
      <c r="D80" s="15" t="n">
        <v>11946</v>
      </c>
      <c r="E80" s="15" t="n">
        <v>15311</v>
      </c>
      <c r="F80" s="26" t="n">
        <v>21136</v>
      </c>
    </row>
    <row r="81" customFormat="false" ht="15" hidden="false" customHeight="true" outlineLevel="0" collapsed="false">
      <c r="A81" s="6" t="s">
        <v>57</v>
      </c>
      <c r="B81" s="27" t="n">
        <v>0.85</v>
      </c>
      <c r="C81" s="20"/>
      <c r="D81" s="20"/>
      <c r="E81" s="20"/>
      <c r="F81" s="9"/>
    </row>
    <row r="84" customFormat="false" ht="15" hidden="false" customHeight="true" outlineLevel="0" collapsed="false">
      <c r="A84" s="5" t="s">
        <v>58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</row>
    <row r="85" customFormat="false" ht="15" hidden="false" customHeight="true" outlineLevel="0" collapsed="false">
      <c r="A85" s="21" t="s">
        <v>44</v>
      </c>
      <c r="B85" s="23" t="s">
        <v>45</v>
      </c>
      <c r="C85" s="23" t="s">
        <v>46</v>
      </c>
      <c r="D85" s="23" t="s">
        <v>47</v>
      </c>
      <c r="E85" s="23" t="s">
        <v>48</v>
      </c>
      <c r="F85" s="23" t="s">
        <v>49</v>
      </c>
      <c r="G85" s="23" t="s">
        <v>19</v>
      </c>
      <c r="H85" s="23" t="s">
        <v>20</v>
      </c>
      <c r="I85" s="23" t="s">
        <v>21</v>
      </c>
      <c r="J85" s="23" t="s">
        <v>22</v>
      </c>
      <c r="K85" s="23" t="s">
        <v>23</v>
      </c>
      <c r="L85" s="23" t="s">
        <v>24</v>
      </c>
      <c r="M85" s="23" t="s">
        <v>25</v>
      </c>
      <c r="N85" s="23" t="s">
        <v>26</v>
      </c>
      <c r="O85" s="23" t="s">
        <v>27</v>
      </c>
      <c r="P85" s="24" t="s">
        <v>28</v>
      </c>
    </row>
    <row r="86" customFormat="false" ht="15" hidden="false" customHeight="true" outlineLevel="0" collapsed="false">
      <c r="A86" s="28" t="s">
        <v>59</v>
      </c>
      <c r="B86" s="14" t="n">
        <f aca="false">B74</f>
        <v>257637</v>
      </c>
      <c r="C86" s="14" t="n">
        <f aca="false">C74</f>
        <v>282836</v>
      </c>
      <c r="D86" s="14" t="n">
        <f aca="false">D74</f>
        <v>307394</v>
      </c>
      <c r="E86" s="14" t="n">
        <f aca="false">E74</f>
        <v>350018</v>
      </c>
      <c r="F86" s="14" t="n">
        <f aca="false">F74</f>
        <v>402836</v>
      </c>
      <c r="G86" s="14" t="n">
        <f aca="false">F86*(1+G61)</f>
        <v>487431.56</v>
      </c>
      <c r="H86" s="14" t="n">
        <f aca="false">G86*(1+H61)</f>
        <v>570294.9252</v>
      </c>
      <c r="I86" s="14" t="n">
        <f aca="false">H86*(1+I61)</f>
        <v>650136.214728</v>
      </c>
      <c r="J86" s="14" t="n">
        <f aca="false">I86*(1+J61)</f>
        <v>728152.56049536</v>
      </c>
      <c r="K86" s="14" t="n">
        <f aca="false">J86*(1+K61)</f>
        <v>808249.34214985</v>
      </c>
      <c r="L86" s="14" t="n">
        <f aca="false">K86*(1+L61)</f>
        <v>885033.029654085</v>
      </c>
      <c r="M86" s="14" t="n">
        <f aca="false">L86*(1+M61)</f>
        <v>955835.672026412</v>
      </c>
      <c r="N86" s="14" t="n">
        <f aca="false">M86*(1+N61)</f>
        <v>1022744.16906826</v>
      </c>
      <c r="O86" s="14" t="n">
        <f aca="false">N86*(1+O61)</f>
        <v>1084108.81921236</v>
      </c>
      <c r="P86" s="35" t="n">
        <f aca="false">O86*(1+P61)</f>
        <v>1138314.26017298</v>
      </c>
    </row>
    <row r="87" customFormat="false" ht="15" hidden="false" customHeight="true" outlineLevel="0" collapsed="false">
      <c r="A87" s="36" t="s">
        <v>60</v>
      </c>
      <c r="C87" s="37" t="n">
        <f aca="false">C86/B86-1</f>
        <v>0.0978081564371578</v>
      </c>
      <c r="D87" s="37" t="n">
        <f aca="false">D86/C86-1</f>
        <v>0.0868277022726951</v>
      </c>
      <c r="E87" s="37" t="n">
        <f aca="false">E86/D86-1</f>
        <v>0.138662433229016</v>
      </c>
      <c r="F87" s="37" t="n">
        <f aca="false">F86/E86-1</f>
        <v>0.150900810815444</v>
      </c>
      <c r="G87" s="37" t="n">
        <f aca="false">G86/F86-1</f>
        <v>0.21</v>
      </c>
      <c r="H87" s="37" t="n">
        <f aca="false">H86/G86-1</f>
        <v>0.17</v>
      </c>
      <c r="I87" s="37" t="n">
        <f aca="false">I86/H86-1</f>
        <v>0.14</v>
      </c>
      <c r="J87" s="37" t="n">
        <f aca="false">J86/I86-1</f>
        <v>0.12</v>
      </c>
      <c r="K87" s="37" t="n">
        <f aca="false">K86/J86-1</f>
        <v>0.11</v>
      </c>
      <c r="L87" s="37" t="n">
        <f aca="false">L86/K86-1</f>
        <v>0.095</v>
      </c>
      <c r="M87" s="37" t="n">
        <f aca="false">M86/L86-1</f>
        <v>0.0800000000000001</v>
      </c>
      <c r="N87" s="37" t="n">
        <f aca="false">N86/M86-1</f>
        <v>0.0700000000000001</v>
      </c>
      <c r="O87" s="37" t="n">
        <f aca="false">O86/N86-1</f>
        <v>0.0600000000000001</v>
      </c>
      <c r="P87" s="38" t="n">
        <f aca="false">P86/O86-1</f>
        <v>0.05</v>
      </c>
    </row>
    <row r="88" customFormat="false" ht="15" hidden="false" customHeight="true" outlineLevel="0" collapsed="false">
      <c r="A88" s="10" t="s">
        <v>61</v>
      </c>
      <c r="B88" s="14" t="n">
        <f aca="false">B75-$B$81*B80</f>
        <v>102206.95</v>
      </c>
      <c r="C88" s="14" t="n">
        <f aca="false">C75-$B$81*C80</f>
        <v>114749.25</v>
      </c>
      <c r="D88" s="14" t="n">
        <f aca="false">D75-$B$81*D80</f>
        <v>123177.9</v>
      </c>
      <c r="E88" s="14" t="n">
        <f aca="false">E75-$B$81*E80</f>
        <v>133291.65</v>
      </c>
      <c r="F88" s="14" t="n">
        <f aca="false">F75-$B$81*F80</f>
        <v>144569.4</v>
      </c>
      <c r="G88" s="14" t="n">
        <f aca="false">G86*G62</f>
        <v>163289.5726</v>
      </c>
      <c r="H88" s="14" t="n">
        <f aca="false">H86*H62</f>
        <v>189337.9151664</v>
      </c>
      <c r="I88" s="14" t="n">
        <f aca="false">I86*I62</f>
        <v>214544.95086024</v>
      </c>
      <c r="J88" s="14" t="n">
        <f aca="false">J86*J62</f>
        <v>238834.039842478</v>
      </c>
      <c r="K88" s="14" t="n">
        <f aca="false">K86*K62</f>
        <v>263489.285540851</v>
      </c>
      <c r="L88" s="14" t="n">
        <f aca="false">L86*L62</f>
        <v>286750.701607924</v>
      </c>
      <c r="M88" s="14" t="n">
        <f aca="false">M86*M62</f>
        <v>307779.086392505</v>
      </c>
      <c r="N88" s="14" t="n">
        <f aca="false">N86*N62</f>
        <v>327278.134101844</v>
      </c>
      <c r="O88" s="14" t="n">
        <f aca="false">O86*O62</f>
        <v>345830.713328742</v>
      </c>
      <c r="P88" s="35" t="n">
        <f aca="false">P86*P62</f>
        <v>361983.934735006</v>
      </c>
    </row>
    <row r="89" customFormat="false" ht="15" hidden="false" customHeight="true" outlineLevel="0" collapsed="false">
      <c r="A89" s="36" t="s">
        <v>62</v>
      </c>
      <c r="B89" s="37" t="n">
        <f aca="false">B88/B86</f>
        <v>0.396709129511677</v>
      </c>
      <c r="C89" s="37" t="n">
        <f aca="false">C88/C86</f>
        <v>0.405709492426707</v>
      </c>
      <c r="D89" s="37" t="n">
        <f aca="false">D88/D86</f>
        <v>0.400716669811382</v>
      </c>
      <c r="E89" s="37" t="n">
        <f aca="false">E88/E86</f>
        <v>0.380813701009662</v>
      </c>
      <c r="F89" s="37" t="n">
        <f aca="false">F88/F86</f>
        <v>0.35887904755285</v>
      </c>
      <c r="G89" s="37" t="n">
        <f aca="false">G88/G86</f>
        <v>0.335</v>
      </c>
      <c r="H89" s="37" t="n">
        <f aca="false">H88/H86</f>
        <v>0.332</v>
      </c>
      <c r="I89" s="37" t="n">
        <f aca="false">I88/I86</f>
        <v>0.33</v>
      </c>
      <c r="J89" s="37" t="n">
        <f aca="false">J88/J86</f>
        <v>0.328</v>
      </c>
      <c r="K89" s="37" t="n">
        <f aca="false">K88/K86</f>
        <v>0.326</v>
      </c>
      <c r="L89" s="37" t="n">
        <f aca="false">L88/L86</f>
        <v>0.324</v>
      </c>
      <c r="M89" s="37" t="n">
        <f aca="false">M88/M86</f>
        <v>0.322</v>
      </c>
      <c r="N89" s="37" t="n">
        <f aca="false">N88/N86</f>
        <v>0.32</v>
      </c>
      <c r="O89" s="37" t="n">
        <f aca="false">O88/O86</f>
        <v>0.319</v>
      </c>
      <c r="P89" s="38" t="n">
        <f aca="false">P88/P86</f>
        <v>0.318</v>
      </c>
    </row>
    <row r="90" customFormat="false" ht="15" hidden="false" customHeight="true" outlineLevel="0" collapsed="false">
      <c r="A90" s="10" t="s">
        <v>63</v>
      </c>
      <c r="B90" s="14" t="n">
        <f aca="false">B76-(1-$B$81)*B80</f>
        <v>30021.05</v>
      </c>
      <c r="C90" s="14" t="n">
        <f aca="false">C76-(1-$B$81)*C80</f>
        <v>37478.75</v>
      </c>
      <c r="D90" s="14" t="n">
        <f aca="false">D76-(1-$B$81)*D80</f>
        <v>43635.1</v>
      </c>
      <c r="E90" s="14" t="n">
        <f aca="false">E76-(1-$B$81)*E80</f>
        <v>47029.35</v>
      </c>
      <c r="F90" s="14" t="n">
        <f aca="false">F76-(1-$B$81)*F80</f>
        <v>57916.6</v>
      </c>
      <c r="G90" s="14" t="n">
        <f aca="false">G86*G63</f>
        <v>70677.5762</v>
      </c>
      <c r="H90" s="14" t="n">
        <f aca="false">H86*H63</f>
        <v>82122.4692288</v>
      </c>
      <c r="I90" s="14" t="n">
        <f aca="false">I86*I63</f>
        <v>92969.478706104</v>
      </c>
      <c r="J90" s="14" t="n">
        <f aca="false">J86*J63</f>
        <v>103397.663590341</v>
      </c>
      <c r="K90" s="14" t="n">
        <f aca="false">K86*K63</f>
        <v>113963.157243129</v>
      </c>
      <c r="L90" s="14" t="n">
        <f aca="false">L86*L63</f>
        <v>123904.624151572</v>
      </c>
      <c r="M90" s="14" t="n">
        <f aca="false">M86*M63</f>
        <v>132861.158411671</v>
      </c>
      <c r="N90" s="14" t="n">
        <f aca="false">N86*N63</f>
        <v>141138.69533142</v>
      </c>
      <c r="O90" s="14" t="n">
        <f aca="false">O86*O63</f>
        <v>149607.017051305</v>
      </c>
      <c r="P90" s="35" t="n">
        <f aca="false">P86*P63</f>
        <v>155949.053643698</v>
      </c>
    </row>
    <row r="91" customFormat="false" ht="15" hidden="false" customHeight="true" outlineLevel="0" collapsed="false">
      <c r="A91" s="36" t="s">
        <v>62</v>
      </c>
      <c r="B91" s="37" t="n">
        <f aca="false">B90/B86</f>
        <v>0.116524606325955</v>
      </c>
      <c r="C91" s="37" t="n">
        <f aca="false">C90/C86</f>
        <v>0.132510536141085</v>
      </c>
      <c r="D91" s="37" t="n">
        <f aca="false">D90/D86</f>
        <v>0.141951697170407</v>
      </c>
      <c r="E91" s="37" t="n">
        <f aca="false">E90/E86</f>
        <v>0.134362661348845</v>
      </c>
      <c r="F91" s="37" t="n">
        <f aca="false">F90/F86</f>
        <v>0.143772155418086</v>
      </c>
      <c r="G91" s="37" t="n">
        <f aca="false">G90/G86</f>
        <v>0.145</v>
      </c>
      <c r="H91" s="37" t="n">
        <f aca="false">H90/H86</f>
        <v>0.144</v>
      </c>
      <c r="I91" s="37" t="n">
        <f aca="false">I90/I86</f>
        <v>0.143</v>
      </c>
      <c r="J91" s="37" t="n">
        <f aca="false">J90/J86</f>
        <v>0.142</v>
      </c>
      <c r="K91" s="37" t="n">
        <f aca="false">K90/K86</f>
        <v>0.141</v>
      </c>
      <c r="L91" s="37" t="n">
        <f aca="false">L90/L86</f>
        <v>0.14</v>
      </c>
      <c r="M91" s="37" t="n">
        <f aca="false">M90/M86</f>
        <v>0.139</v>
      </c>
      <c r="N91" s="37" t="n">
        <f aca="false">N90/N86</f>
        <v>0.138</v>
      </c>
      <c r="O91" s="37" t="n">
        <f aca="false">O90/O86</f>
        <v>0.138</v>
      </c>
      <c r="P91" s="38" t="n">
        <f aca="false">P90/P86</f>
        <v>0.137</v>
      </c>
    </row>
    <row r="92" customFormat="false" ht="15" hidden="false" customHeight="true" outlineLevel="0" collapsed="false">
      <c r="A92" s="10" t="s">
        <v>64</v>
      </c>
      <c r="B92" s="14" t="n">
        <f aca="false">B77</f>
        <v>22912</v>
      </c>
      <c r="C92" s="14" t="n">
        <f aca="false">C77</f>
        <v>26567</v>
      </c>
      <c r="D92" s="14" t="n">
        <f aca="false">D77</f>
        <v>27917</v>
      </c>
      <c r="E92" s="14" t="n">
        <f aca="false">E77</f>
        <v>27808</v>
      </c>
      <c r="F92" s="14" t="n">
        <f aca="false">F77</f>
        <v>28693</v>
      </c>
      <c r="G92" s="14" t="n">
        <f aca="false">G86*G64</f>
        <v>33632.77764</v>
      </c>
      <c r="H92" s="14" t="n">
        <f aca="false">H86*H64</f>
        <v>38780.0549136</v>
      </c>
      <c r="I92" s="14" t="n">
        <f aca="false">I86*I64</f>
        <v>43559.126386776</v>
      </c>
      <c r="J92" s="14" t="n">
        <f aca="false">J86*J64</f>
        <v>48058.0689926938</v>
      </c>
      <c r="K92" s="14" t="n">
        <f aca="false">K86*K64</f>
        <v>52536.2072397402</v>
      </c>
      <c r="L92" s="14" t="n">
        <f aca="false">L86*L64</f>
        <v>56642.1138978615</v>
      </c>
      <c r="M92" s="14" t="n">
        <f aca="false">M86*M64</f>
        <v>60217.647337664</v>
      </c>
      <c r="N92" s="14" t="n">
        <f aca="false">N86*N64</f>
        <v>64432.8826513005</v>
      </c>
      <c r="O92" s="14" t="n">
        <f aca="false">O86*O64</f>
        <v>67214.7467911661</v>
      </c>
      <c r="P92" s="35" t="n">
        <f aca="false">P86*P64</f>
        <v>70575.4841307245</v>
      </c>
    </row>
    <row r="93" customFormat="false" ht="15" hidden="false" customHeight="true" outlineLevel="0" collapsed="false">
      <c r="A93" s="36" t="s">
        <v>62</v>
      </c>
      <c r="B93" s="37" t="n">
        <f aca="false">B92/B86</f>
        <v>0.088931325857699</v>
      </c>
      <c r="C93" s="37" t="n">
        <f aca="false">C92/C86</f>
        <v>0.0939307584607334</v>
      </c>
      <c r="D93" s="37" t="n">
        <f aca="false">D92/D86</f>
        <v>0.0908182983402409</v>
      </c>
      <c r="E93" s="37" t="n">
        <f aca="false">E92/E86</f>
        <v>0.0794473427080893</v>
      </c>
      <c r="F93" s="37" t="n">
        <f aca="false">F92/F86</f>
        <v>0.0712274970459443</v>
      </c>
      <c r="G93" s="37" t="n">
        <f aca="false">G92/G86</f>
        <v>0.069</v>
      </c>
      <c r="H93" s="37" t="n">
        <f aca="false">H92/H86</f>
        <v>0.068</v>
      </c>
      <c r="I93" s="37" t="n">
        <f aca="false">I92/I86</f>
        <v>0.067</v>
      </c>
      <c r="J93" s="37" t="n">
        <f aca="false">J92/J86</f>
        <v>0.066</v>
      </c>
      <c r="K93" s="37" t="n">
        <f aca="false">K92/K86</f>
        <v>0.065</v>
      </c>
      <c r="L93" s="37" t="n">
        <f aca="false">L92/L86</f>
        <v>0.064</v>
      </c>
      <c r="M93" s="37" t="n">
        <f aca="false">M92/M86</f>
        <v>0.063</v>
      </c>
      <c r="N93" s="37" t="n">
        <f aca="false">N92/N86</f>
        <v>0.063</v>
      </c>
      <c r="O93" s="37" t="n">
        <f aca="false">O92/O86</f>
        <v>0.062</v>
      </c>
      <c r="P93" s="38" t="n">
        <f aca="false">P92/P86</f>
        <v>0.062</v>
      </c>
    </row>
    <row r="94" customFormat="false" ht="15" hidden="false" customHeight="true" outlineLevel="0" collapsed="false">
      <c r="A94" s="10" t="s">
        <v>65</v>
      </c>
      <c r="B94" s="14" t="n">
        <f aca="false">B78</f>
        <v>13510</v>
      </c>
      <c r="C94" s="14" t="n">
        <f aca="false">C78</f>
        <v>15724</v>
      </c>
      <c r="D94" s="14" t="n">
        <f aca="false">D78</f>
        <v>16425</v>
      </c>
      <c r="E94" s="14" t="n">
        <f aca="false">E78</f>
        <v>14188</v>
      </c>
      <c r="F94" s="14" t="n">
        <f aca="false">F78</f>
        <v>21482</v>
      </c>
      <c r="G94" s="14" t="n">
        <f aca="false">G86*G65</f>
        <v>22909.28332</v>
      </c>
      <c r="H94" s="14" t="n">
        <f aca="false">H86*H65</f>
        <v>25663.271634</v>
      </c>
      <c r="I94" s="14" t="n">
        <f aca="false">I86*I65</f>
        <v>28605.993448032</v>
      </c>
      <c r="J94" s="14" t="n">
        <f aca="false">J86*J65</f>
        <v>31310.5601013005</v>
      </c>
      <c r="K94" s="14" t="n">
        <f aca="false">K86*K65</f>
        <v>33946.4723702937</v>
      </c>
      <c r="L94" s="14" t="n">
        <f aca="false">L86*L65</f>
        <v>36286.3542158175</v>
      </c>
      <c r="M94" s="14" t="n">
        <f aca="false">M86*M65</f>
        <v>38233.4268810565</v>
      </c>
      <c r="N94" s="14" t="n">
        <f aca="false">N86*N65</f>
        <v>40909.7667627305</v>
      </c>
      <c r="O94" s="14" t="n">
        <f aca="false">O86*O65</f>
        <v>42280.2439492819</v>
      </c>
      <c r="P94" s="35" t="n">
        <f aca="false">P86*P65</f>
        <v>44394.256146746</v>
      </c>
    </row>
    <row r="95" customFormat="false" ht="15" hidden="false" customHeight="true" outlineLevel="0" collapsed="false">
      <c r="A95" s="36" t="s">
        <v>62</v>
      </c>
      <c r="B95" s="37" t="n">
        <f aca="false">B94/B86</f>
        <v>0.0524381203010437</v>
      </c>
      <c r="C95" s="37" t="n">
        <f aca="false">C94/C86</f>
        <v>0.0555940545050842</v>
      </c>
      <c r="D95" s="37" t="n">
        <f aca="false">D94/D86</f>
        <v>0.0534330533452182</v>
      </c>
      <c r="E95" s="37" t="n">
        <f aca="false">E94/E86</f>
        <v>0.040535058197007</v>
      </c>
      <c r="F95" s="37" t="n">
        <f aca="false">F94/F86</f>
        <v>0.0533269121925548</v>
      </c>
      <c r="G95" s="37" t="n">
        <f aca="false">G94/G86</f>
        <v>0.047</v>
      </c>
      <c r="H95" s="37" t="n">
        <f aca="false">H94/H86</f>
        <v>0.045</v>
      </c>
      <c r="I95" s="37" t="n">
        <f aca="false">I94/I86</f>
        <v>0.044</v>
      </c>
      <c r="J95" s="37" t="n">
        <f aca="false">J94/J86</f>
        <v>0.043</v>
      </c>
      <c r="K95" s="37" t="n">
        <f aca="false">K94/K86</f>
        <v>0.042</v>
      </c>
      <c r="L95" s="37" t="n">
        <f aca="false">L94/L86</f>
        <v>0.041</v>
      </c>
      <c r="M95" s="37" t="n">
        <f aca="false">M94/M86</f>
        <v>0.04</v>
      </c>
      <c r="N95" s="37" t="n">
        <f aca="false">N94/N86</f>
        <v>0.04</v>
      </c>
      <c r="O95" s="37" t="n">
        <f aca="false">O94/O86</f>
        <v>0.039</v>
      </c>
      <c r="P95" s="38" t="n">
        <f aca="false">P94/P86</f>
        <v>0.039</v>
      </c>
    </row>
    <row r="96" customFormat="false" ht="15" hidden="false" customHeight="true" outlineLevel="0" collapsed="false">
      <c r="A96" s="10" t="s">
        <v>66</v>
      </c>
      <c r="B96" s="14" t="n">
        <f aca="false">B88+B90+B92+B94</f>
        <v>168650</v>
      </c>
      <c r="C96" s="14" t="n">
        <f aca="false">C88+C90+C92+C94</f>
        <v>194519</v>
      </c>
      <c r="D96" s="14" t="n">
        <f aca="false">D88+D90+D92+D94</f>
        <v>211155</v>
      </c>
      <c r="E96" s="14" t="n">
        <f aca="false">E88+E90+E92+E94</f>
        <v>222317</v>
      </c>
      <c r="F96" s="14" t="n">
        <f aca="false">F88+F90+F92+F94</f>
        <v>252661</v>
      </c>
      <c r="G96" s="14" t="n">
        <f aca="false">G88+G90+G92+G94</f>
        <v>290509.20976</v>
      </c>
      <c r="H96" s="14" t="n">
        <f aca="false">H88+H90+H92+H94</f>
        <v>335903.7109428</v>
      </c>
      <c r="I96" s="14" t="n">
        <f aca="false">I88+I90+I92+I94</f>
        <v>379679.549401152</v>
      </c>
      <c r="J96" s="14" t="n">
        <f aca="false">J88+J90+J92+J94</f>
        <v>421600.332526814</v>
      </c>
      <c r="K96" s="14" t="n">
        <f aca="false">K88+K90+K92+K94</f>
        <v>463935.122394014</v>
      </c>
      <c r="L96" s="14" t="n">
        <f aca="false">L88+L90+L92+L94</f>
        <v>503583.793873175</v>
      </c>
      <c r="M96" s="14" t="n">
        <f aca="false">M88+M90+M92+M94</f>
        <v>539091.319022897</v>
      </c>
      <c r="N96" s="14" t="n">
        <f aca="false">N88+N90+N92+N94</f>
        <v>573759.478847295</v>
      </c>
      <c r="O96" s="14" t="n">
        <f aca="false">O88+O90+O92+O94</f>
        <v>604932.721120495</v>
      </c>
      <c r="P96" s="35" t="n">
        <f aca="false">P88+P90+P92+P94</f>
        <v>632902.728656174</v>
      </c>
    </row>
    <row r="97" customFormat="false" ht="15" hidden="false" customHeight="true" outlineLevel="0" collapsed="false">
      <c r="A97" s="28" t="s">
        <v>67</v>
      </c>
      <c r="B97" s="14" t="n">
        <f aca="false">B86-B96</f>
        <v>88987</v>
      </c>
      <c r="C97" s="14" t="n">
        <f aca="false">C86-C96</f>
        <v>88317</v>
      </c>
      <c r="D97" s="14" t="n">
        <f aca="false">D86-D96</f>
        <v>96239</v>
      </c>
      <c r="E97" s="14" t="n">
        <f aca="false">E86-E96</f>
        <v>127701</v>
      </c>
      <c r="F97" s="14" t="n">
        <f aca="false">F86-F96</f>
        <v>150175</v>
      </c>
      <c r="G97" s="14" t="n">
        <f aca="false">G86-G96</f>
        <v>196922.35024</v>
      </c>
      <c r="H97" s="14" t="n">
        <f aca="false">H86-H96</f>
        <v>234391.2142572</v>
      </c>
      <c r="I97" s="14" t="n">
        <f aca="false">I86-I96</f>
        <v>270456.665326848</v>
      </c>
      <c r="J97" s="14" t="n">
        <f aca="false">J86-J96</f>
        <v>306552.227968547</v>
      </c>
      <c r="K97" s="14" t="n">
        <f aca="false">K86-K96</f>
        <v>344314.219755836</v>
      </c>
      <c r="L97" s="14" t="n">
        <f aca="false">L86-L96</f>
        <v>381449.235780911</v>
      </c>
      <c r="M97" s="14" t="n">
        <f aca="false">M86-M96</f>
        <v>416744.353003516</v>
      </c>
      <c r="N97" s="14" t="n">
        <f aca="false">N86-N96</f>
        <v>448984.690220967</v>
      </c>
      <c r="O97" s="14" t="n">
        <f aca="false">O86-O96</f>
        <v>479176.098091862</v>
      </c>
      <c r="P97" s="35" t="n">
        <f aca="false">P86-P96</f>
        <v>505411.531516801</v>
      </c>
    </row>
    <row r="98" customFormat="false" ht="15" hidden="false" customHeight="true" outlineLevel="0" collapsed="false">
      <c r="A98" s="36" t="s">
        <v>68</v>
      </c>
      <c r="B98" s="37" t="n">
        <f aca="false">B97/B86</f>
        <v>0.345396818003625</v>
      </c>
      <c r="C98" s="37" t="n">
        <f aca="false">C97/C86</f>
        <v>0.31225515846639</v>
      </c>
      <c r="D98" s="37" t="n">
        <f aca="false">D97/D86</f>
        <v>0.313080281332752</v>
      </c>
      <c r="E98" s="37" t="n">
        <f aca="false">E97/E86</f>
        <v>0.364841236736396</v>
      </c>
      <c r="F98" s="37" t="n">
        <f aca="false">F97/F86</f>
        <v>0.372794387790565</v>
      </c>
      <c r="G98" s="37" t="n">
        <f aca="false">G97/G86</f>
        <v>0.404</v>
      </c>
      <c r="H98" s="37" t="n">
        <f aca="false">H97/H86</f>
        <v>0.411</v>
      </c>
      <c r="I98" s="37" t="n">
        <f aca="false">I97/I86</f>
        <v>0.416</v>
      </c>
      <c r="J98" s="37" t="n">
        <f aca="false">J97/J86</f>
        <v>0.421</v>
      </c>
      <c r="K98" s="37" t="n">
        <f aca="false">K97/K86</f>
        <v>0.426</v>
      </c>
      <c r="L98" s="37" t="n">
        <f aca="false">L97/L86</f>
        <v>0.431</v>
      </c>
      <c r="M98" s="37" t="n">
        <f aca="false">M97/M86</f>
        <v>0.436</v>
      </c>
      <c r="N98" s="37" t="n">
        <f aca="false">N97/N86</f>
        <v>0.439</v>
      </c>
      <c r="O98" s="37" t="n">
        <f aca="false">O97/O86</f>
        <v>0.442</v>
      </c>
      <c r="P98" s="38" t="n">
        <f aca="false">P97/P86</f>
        <v>0.444</v>
      </c>
    </row>
    <row r="99" customFormat="false" ht="15" hidden="false" customHeight="true" outlineLevel="0" collapsed="false">
      <c r="A99" s="10" t="s">
        <v>69</v>
      </c>
      <c r="B99" s="14" t="n">
        <f aca="false">B80</f>
        <v>10273</v>
      </c>
      <c r="C99" s="14" t="n">
        <f aca="false">C80</f>
        <v>13475</v>
      </c>
      <c r="D99" s="14" t="n">
        <f aca="false">D80</f>
        <v>11946</v>
      </c>
      <c r="E99" s="14" t="n">
        <f aca="false">E80</f>
        <v>15311</v>
      </c>
      <c r="F99" s="14" t="n">
        <f aca="false">F80</f>
        <v>21136</v>
      </c>
      <c r="G99" s="14" t="n">
        <f aca="false">-G112</f>
        <v>32057.61</v>
      </c>
      <c r="H99" s="14" t="n">
        <f aca="false">-H112</f>
        <v>62180.9085</v>
      </c>
      <c r="I99" s="14" t="n">
        <f aca="false">-I112</f>
        <v>101039.1494475</v>
      </c>
      <c r="J99" s="14" t="n">
        <f aca="false">-J112</f>
        <v>140230.883109187</v>
      </c>
      <c r="K99" s="14" t="n">
        <f aca="false">-K112</f>
        <v>172995.920809796</v>
      </c>
      <c r="L99" s="14" t="n">
        <f aca="false">-L112</f>
        <v>196756.655064033</v>
      </c>
      <c r="M99" s="14" t="n">
        <f aca="false">-M112</f>
        <v>208483.77778716</v>
      </c>
      <c r="N99" s="14" t="n">
        <f aca="false">-N112</f>
        <v>215534.856197995</v>
      </c>
      <c r="O99" s="14" t="n">
        <f aca="false">-O112</f>
        <v>219832.344448914</v>
      </c>
      <c r="P99" s="35" t="n">
        <f aca="false">-P112</f>
        <v>221997.583141666</v>
      </c>
    </row>
    <row r="100" customFormat="false" ht="15" hidden="false" customHeight="true" outlineLevel="0" collapsed="false">
      <c r="A100" s="36" t="s">
        <v>70</v>
      </c>
      <c r="B100" s="37" t="n">
        <f aca="false">B99/B86</f>
        <v>0.0398739311511933</v>
      </c>
      <c r="C100" s="37" t="n">
        <f aca="false">C99/C86</f>
        <v>0.0476424500417203</v>
      </c>
      <c r="D100" s="37" t="n">
        <f aca="false">D99/D86</f>
        <v>0.0388621768804856</v>
      </c>
      <c r="E100" s="37" t="n">
        <f aca="false">E99/E86</f>
        <v>0.0437434646218194</v>
      </c>
      <c r="F100" s="37" t="n">
        <f aca="false">F99/F86</f>
        <v>0.0524680018667646</v>
      </c>
      <c r="G100" s="37" t="n">
        <f aca="false">G99/G86</f>
        <v>0.0657684332134751</v>
      </c>
      <c r="H100" s="37" t="n">
        <f aca="false">H99/H86</f>
        <v>0.10903289815913</v>
      </c>
      <c r="I100" s="37" t="n">
        <f aca="false">I99/I86</f>
        <v>0.15541227693303</v>
      </c>
      <c r="J100" s="37" t="n">
        <f aca="false">J99/J86</f>
        <v>0.192584481216119</v>
      </c>
      <c r="K100" s="37" t="n">
        <f aca="false">K99/K86</f>
        <v>0.214037812081167</v>
      </c>
      <c r="L100" s="37" t="n">
        <f aca="false">L99/L86</f>
        <v>0.222315606843436</v>
      </c>
      <c r="M100" s="37" t="n">
        <f aca="false">M99/M86</f>
        <v>0.218116757815876</v>
      </c>
      <c r="N100" s="37" t="n">
        <f aca="false">N99/N86</f>
        <v>0.210741711091202</v>
      </c>
      <c r="O100" s="37" t="n">
        <f aca="false">O99/O86</f>
        <v>0.202777009607421</v>
      </c>
      <c r="P100" s="38" t="n">
        <f aca="false">P99/P86</f>
        <v>0.195023106455622</v>
      </c>
    </row>
    <row r="101" customFormat="false" ht="15" hidden="false" customHeight="true" outlineLevel="0" collapsed="false">
      <c r="A101" s="28" t="s">
        <v>71</v>
      </c>
      <c r="B101" s="31" t="n">
        <f aca="false">B97-B99</f>
        <v>78714</v>
      </c>
      <c r="C101" s="31" t="n">
        <f aca="false">C97-C99</f>
        <v>74842</v>
      </c>
      <c r="D101" s="31" t="n">
        <f aca="false">D97-D99</f>
        <v>84293</v>
      </c>
      <c r="E101" s="31" t="n">
        <f aca="false">E97-E99</f>
        <v>112390</v>
      </c>
      <c r="F101" s="31" t="n">
        <f aca="false">F97-F99</f>
        <v>129039</v>
      </c>
      <c r="G101" s="31" t="n">
        <f aca="false">G97-G99</f>
        <v>164864.74024</v>
      </c>
      <c r="H101" s="31" t="n">
        <f aca="false">H97-H99</f>
        <v>172210.3057572</v>
      </c>
      <c r="I101" s="31" t="n">
        <f aca="false">I97-I99</f>
        <v>169417.515879348</v>
      </c>
      <c r="J101" s="31" t="n">
        <f aca="false">J97-J99</f>
        <v>166321.344859359</v>
      </c>
      <c r="K101" s="31" t="n">
        <f aca="false">K97-K99</f>
        <v>171318.29894604</v>
      </c>
      <c r="L101" s="31" t="n">
        <f aca="false">L97-L99</f>
        <v>184692.580716878</v>
      </c>
      <c r="M101" s="31" t="n">
        <f aca="false">M97-M99</f>
        <v>208260.575216356</v>
      </c>
      <c r="N101" s="31" t="n">
        <f aca="false">N97-N99</f>
        <v>233449.834022972</v>
      </c>
      <c r="O101" s="31" t="n">
        <f aca="false">O97-O99</f>
        <v>259343.753642947</v>
      </c>
      <c r="P101" s="32" t="n">
        <f aca="false">P97-P99</f>
        <v>283413.948375135</v>
      </c>
    </row>
    <row r="102" customFormat="false" ht="15" hidden="false" customHeight="true" outlineLevel="0" collapsed="false">
      <c r="A102" s="36" t="s">
        <v>72</v>
      </c>
      <c r="B102" s="37" t="n">
        <f aca="false">B101/B86</f>
        <v>0.305522886852432</v>
      </c>
      <c r="C102" s="37" t="n">
        <f aca="false">C101/C86</f>
        <v>0.26461270842467</v>
      </c>
      <c r="D102" s="37" t="n">
        <f aca="false">D101/D86</f>
        <v>0.274218104452266</v>
      </c>
      <c r="E102" s="37" t="n">
        <f aca="false">E101/E86</f>
        <v>0.321097772114577</v>
      </c>
      <c r="F102" s="37" t="n">
        <f aca="false">F101/F86</f>
        <v>0.3203263859238</v>
      </c>
      <c r="G102" s="37" t="n">
        <f aca="false">G101/G86</f>
        <v>0.338231566786525</v>
      </c>
      <c r="H102" s="37" t="n">
        <f aca="false">H101/H86</f>
        <v>0.301967101840871</v>
      </c>
      <c r="I102" s="37" t="n">
        <f aca="false">I101/I86</f>
        <v>0.26058772306697</v>
      </c>
      <c r="J102" s="37" t="n">
        <f aca="false">J101/J86</f>
        <v>0.228415518783881</v>
      </c>
      <c r="K102" s="37" t="n">
        <f aca="false">K101/K86</f>
        <v>0.211962187918833</v>
      </c>
      <c r="L102" s="37" t="n">
        <f aca="false">L101/L86</f>
        <v>0.208684393156564</v>
      </c>
      <c r="M102" s="37" t="n">
        <f aca="false">M101/M86</f>
        <v>0.217883242184124</v>
      </c>
      <c r="N102" s="37" t="n">
        <f aca="false">N101/N86</f>
        <v>0.228258288908798</v>
      </c>
      <c r="O102" s="37" t="n">
        <f aca="false">O101/O86</f>
        <v>0.239222990392579</v>
      </c>
      <c r="P102" s="38" t="n">
        <f aca="false">P101/P86</f>
        <v>0.248976893544378</v>
      </c>
    </row>
    <row r="103" customFormat="false" ht="15" hidden="false" customHeight="true" outlineLevel="0" collapsed="false">
      <c r="A103" s="36" t="s">
        <v>73</v>
      </c>
      <c r="B103" s="14" t="n">
        <f aca="false">B79</f>
        <v>78714</v>
      </c>
      <c r="C103" s="14" t="n">
        <f aca="false">C79</f>
        <v>74842</v>
      </c>
      <c r="D103" s="14" t="n">
        <f aca="false">D79</f>
        <v>84293</v>
      </c>
      <c r="E103" s="14" t="n">
        <f aca="false">E79</f>
        <v>112390</v>
      </c>
      <c r="F103" s="14" t="n">
        <f aca="false">F79</f>
        <v>129039</v>
      </c>
      <c r="P103" s="12"/>
    </row>
    <row r="104" customFormat="false" ht="15" hidden="false" customHeight="true" outlineLevel="0" collapsed="false">
      <c r="A104" s="10" t="s">
        <v>74</v>
      </c>
      <c r="G104" s="14" t="n">
        <f aca="false">-G101*G68</f>
        <v>-31324.3006456</v>
      </c>
      <c r="H104" s="14" t="n">
        <f aca="false">-H101*H68</f>
        <v>-32719.958093868</v>
      </c>
      <c r="I104" s="14" t="n">
        <f aca="false">-I101*I68</f>
        <v>-32189.3280170761</v>
      </c>
      <c r="J104" s="14" t="n">
        <f aca="false">-J101*J68</f>
        <v>-31601.0555232782</v>
      </c>
      <c r="K104" s="14" t="n">
        <f aca="false">-K101*K68</f>
        <v>-32550.4767997476</v>
      </c>
      <c r="L104" s="14" t="n">
        <f aca="false">-L101*L68</f>
        <v>-35091.5903362068</v>
      </c>
      <c r="M104" s="14" t="n">
        <f aca="false">-M101*M68</f>
        <v>-39569.5092911077</v>
      </c>
      <c r="N104" s="14" t="n">
        <f aca="false">-N101*N68</f>
        <v>-44355.4684643646</v>
      </c>
      <c r="O104" s="14" t="n">
        <f aca="false">-O101*O68</f>
        <v>-49275.31319216</v>
      </c>
      <c r="P104" s="35" t="n">
        <f aca="false">-P101*P68</f>
        <v>-53848.6501912756</v>
      </c>
    </row>
    <row r="105" customFormat="false" ht="15" hidden="false" customHeight="true" outlineLevel="0" collapsed="false">
      <c r="A105" s="36" t="s">
        <v>75</v>
      </c>
      <c r="G105" s="37" t="n">
        <f aca="false">-G104/G101</f>
        <v>0.19</v>
      </c>
      <c r="H105" s="37" t="n">
        <f aca="false">-H104/H101</f>
        <v>0.19</v>
      </c>
      <c r="I105" s="37" t="n">
        <f aca="false">-I104/I101</f>
        <v>0.19</v>
      </c>
      <c r="J105" s="37" t="n">
        <f aca="false">-J104/J101</f>
        <v>0.19</v>
      </c>
      <c r="K105" s="37" t="n">
        <f aca="false">-K104/K101</f>
        <v>0.19</v>
      </c>
      <c r="L105" s="37" t="n">
        <f aca="false">-L104/L101</f>
        <v>0.19</v>
      </c>
      <c r="M105" s="37" t="n">
        <f aca="false">-M104/M101</f>
        <v>0.19</v>
      </c>
      <c r="N105" s="37" t="n">
        <f aca="false">-N104/N101</f>
        <v>0.19</v>
      </c>
      <c r="O105" s="37" t="n">
        <f aca="false">-O104/O101</f>
        <v>0.19</v>
      </c>
      <c r="P105" s="38" t="n">
        <f aca="false">-P104/P101</f>
        <v>0.19</v>
      </c>
    </row>
    <row r="106" customFormat="false" ht="15" hidden="false" customHeight="true" outlineLevel="0" collapsed="false">
      <c r="A106" s="33" t="s">
        <v>76</v>
      </c>
      <c r="B106" s="20"/>
      <c r="C106" s="20"/>
      <c r="D106" s="20"/>
      <c r="E106" s="20"/>
      <c r="F106" s="20"/>
      <c r="G106" s="39" t="n">
        <f aca="false">G101+G104</f>
        <v>133540.4395944</v>
      </c>
      <c r="H106" s="39" t="n">
        <f aca="false">H101+H104</f>
        <v>139490.347663332</v>
      </c>
      <c r="I106" s="39" t="n">
        <f aca="false">I101+I104</f>
        <v>137228.187862272</v>
      </c>
      <c r="J106" s="39" t="n">
        <f aca="false">J101+J104</f>
        <v>134720.289336081</v>
      </c>
      <c r="K106" s="39" t="n">
        <f aca="false">K101+K104</f>
        <v>138767.822146292</v>
      </c>
      <c r="L106" s="39" t="n">
        <f aca="false">L101+L104</f>
        <v>149600.990380671</v>
      </c>
      <c r="M106" s="39" t="n">
        <f aca="false">M101+M104</f>
        <v>168691.065925249</v>
      </c>
      <c r="N106" s="39" t="n">
        <f aca="false">N101+N104</f>
        <v>189094.365558607</v>
      </c>
      <c r="O106" s="39" t="n">
        <f aca="false">O101+O104</f>
        <v>210068.440450787</v>
      </c>
      <c r="P106" s="40" t="n">
        <f aca="false">P101+P104</f>
        <v>229565.298183859</v>
      </c>
    </row>
    <row r="107" customFormat="false" ht="15" hidden="false" customHeight="true" outlineLevel="0" collapsed="false">
      <c r="A107" s="5" t="s">
        <v>77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</row>
    <row r="108" customFormat="false" ht="15" hidden="false" customHeight="true" outlineLevel="0" collapsed="false">
      <c r="A108" s="21" t="s">
        <v>44</v>
      </c>
      <c r="B108" s="23" t="s">
        <v>45</v>
      </c>
      <c r="C108" s="23" t="s">
        <v>46</v>
      </c>
      <c r="D108" s="23" t="s">
        <v>47</v>
      </c>
      <c r="E108" s="23" t="s">
        <v>48</v>
      </c>
      <c r="F108" s="23" t="s">
        <v>49</v>
      </c>
      <c r="G108" s="23" t="s">
        <v>19</v>
      </c>
      <c r="H108" s="23" t="s">
        <v>20</v>
      </c>
      <c r="I108" s="23" t="s">
        <v>21</v>
      </c>
      <c r="J108" s="23" t="s">
        <v>22</v>
      </c>
      <c r="K108" s="23" t="s">
        <v>23</v>
      </c>
      <c r="L108" s="23" t="s">
        <v>24</v>
      </c>
      <c r="M108" s="23" t="s">
        <v>25</v>
      </c>
      <c r="N108" s="23" t="s">
        <v>26</v>
      </c>
      <c r="O108" s="23" t="s">
        <v>27</v>
      </c>
      <c r="P108" s="24" t="s">
        <v>28</v>
      </c>
    </row>
    <row r="109" customFormat="false" ht="15" hidden="false" customHeight="true" outlineLevel="0" collapsed="false">
      <c r="A109" s="41"/>
      <c r="P109" s="12"/>
    </row>
    <row r="110" customFormat="false" ht="15" hidden="false" customHeight="true" outlineLevel="0" collapsed="false">
      <c r="A110" s="10" t="s">
        <v>78</v>
      </c>
      <c r="G110" s="14" t="n">
        <f aca="false">F113</f>
        <v>246597</v>
      </c>
      <c r="H110" s="14" t="n">
        <f aca="false">G113</f>
        <v>414539.39</v>
      </c>
      <c r="I110" s="14" t="n">
        <f aca="false">H113</f>
        <v>612358.4815</v>
      </c>
      <c r="J110" s="14" t="n">
        <f aca="false">I113</f>
        <v>801319.3320525</v>
      </c>
      <c r="K110" s="14" t="n">
        <f aca="false">J113</f>
        <v>961088.448943313</v>
      </c>
      <c r="L110" s="14" t="n">
        <f aca="false">K113</f>
        <v>1093092.52813352</v>
      </c>
      <c r="M110" s="14" t="n">
        <f aca="false">L113</f>
        <v>1191335.87306948</v>
      </c>
      <c r="N110" s="14" t="n">
        <f aca="false">M113</f>
        <v>1267852.09528232</v>
      </c>
      <c r="O110" s="14" t="n">
        <f aca="false">N113</f>
        <v>1332317.23908433</v>
      </c>
      <c r="P110" s="35" t="n">
        <f aca="false">O113</f>
        <v>1387484.89463541</v>
      </c>
    </row>
    <row r="111" customFormat="false" ht="15" hidden="false" customHeight="true" outlineLevel="0" collapsed="false">
      <c r="A111" s="10" t="s">
        <v>79</v>
      </c>
      <c r="G111" s="14" t="n">
        <f aca="false">G67</f>
        <v>200000</v>
      </c>
      <c r="H111" s="14" t="n">
        <f aca="false">H67</f>
        <v>260000</v>
      </c>
      <c r="I111" s="14" t="n">
        <f aca="false">I67</f>
        <v>290000</v>
      </c>
      <c r="J111" s="14" t="n">
        <f aca="false">J67</f>
        <v>300000</v>
      </c>
      <c r="K111" s="14" t="n">
        <f aca="false">K67</f>
        <v>305000</v>
      </c>
      <c r="L111" s="14" t="n">
        <f aca="false">L67</f>
        <v>295000</v>
      </c>
      <c r="M111" s="14" t="n">
        <f aca="false">M67</f>
        <v>285000</v>
      </c>
      <c r="N111" s="14" t="n">
        <f aca="false">N67</f>
        <v>280000</v>
      </c>
      <c r="O111" s="14" t="n">
        <f aca="false">O67</f>
        <v>275000</v>
      </c>
      <c r="P111" s="35" t="n">
        <f aca="false">P67</f>
        <v>275000</v>
      </c>
    </row>
    <row r="112" customFormat="false" ht="15" hidden="false" customHeight="true" outlineLevel="0" collapsed="false">
      <c r="A112" s="10" t="s">
        <v>80</v>
      </c>
      <c r="G112" s="14" t="n">
        <f aca="false">-G110*G66</f>
        <v>-32057.61</v>
      </c>
      <c r="H112" s="14" t="n">
        <f aca="false">-H110*H66</f>
        <v>-62180.9085</v>
      </c>
      <c r="I112" s="14" t="n">
        <f aca="false">-I110*I66</f>
        <v>-101039.1494475</v>
      </c>
      <c r="J112" s="14" t="n">
        <f aca="false">-J110*J66</f>
        <v>-140230.883109187</v>
      </c>
      <c r="K112" s="14" t="n">
        <f aca="false">-K110*K66</f>
        <v>-172995.920809796</v>
      </c>
      <c r="L112" s="14" t="n">
        <f aca="false">-L110*L66</f>
        <v>-196756.655064033</v>
      </c>
      <c r="M112" s="14" t="n">
        <f aca="false">-M110*M66</f>
        <v>-208483.77778716</v>
      </c>
      <c r="N112" s="14" t="n">
        <f aca="false">-N110*N66</f>
        <v>-215534.856197995</v>
      </c>
      <c r="O112" s="14" t="n">
        <f aca="false">-O110*O66</f>
        <v>-219832.344448914</v>
      </c>
      <c r="P112" s="35" t="n">
        <f aca="false">-P110*P66</f>
        <v>-221997.583141666</v>
      </c>
    </row>
    <row r="113" customFormat="false" ht="15" hidden="false" customHeight="true" outlineLevel="0" collapsed="false">
      <c r="A113" s="28" t="s">
        <v>81</v>
      </c>
      <c r="F113" s="15" t="n">
        <v>246597</v>
      </c>
      <c r="G113" s="14" t="n">
        <f aca="false">G110+G111+G112</f>
        <v>414539.39</v>
      </c>
      <c r="H113" s="14" t="n">
        <f aca="false">H110+H111+H112</f>
        <v>612358.4815</v>
      </c>
      <c r="I113" s="14" t="n">
        <f aca="false">I110+I111+I112</f>
        <v>801319.3320525</v>
      </c>
      <c r="J113" s="14" t="n">
        <f aca="false">J110+J111+J112</f>
        <v>961088.448943313</v>
      </c>
      <c r="K113" s="14" t="n">
        <f aca="false">K110+K111+K112</f>
        <v>1093092.52813352</v>
      </c>
      <c r="L113" s="14" t="n">
        <f aca="false">L110+L111+L112</f>
        <v>1191335.87306948</v>
      </c>
      <c r="M113" s="14" t="n">
        <f aca="false">M110+M111+M112</f>
        <v>1267852.09528232</v>
      </c>
      <c r="N113" s="14" t="n">
        <f aca="false">N110+N111+N112</f>
        <v>1332317.23908433</v>
      </c>
      <c r="O113" s="14" t="n">
        <f aca="false">O110+O111+O112</f>
        <v>1387484.89463541</v>
      </c>
      <c r="P113" s="35" t="n">
        <f aca="false">P110+P111+P112</f>
        <v>1440487.31149375</v>
      </c>
    </row>
    <row r="114" customFormat="false" ht="15" hidden="false" customHeight="true" outlineLevel="0" collapsed="false">
      <c r="A114" s="36" t="s">
        <v>82</v>
      </c>
      <c r="G114" s="37" t="n">
        <f aca="false">G111/G86</f>
        <v>0.410314014135646</v>
      </c>
      <c r="H114" s="37" t="n">
        <f aca="false">H111/H86</f>
        <v>0.455904460150718</v>
      </c>
      <c r="I114" s="37" t="n">
        <f aca="false">I111/I86</f>
        <v>0.44606036924328</v>
      </c>
      <c r="J114" s="37" t="n">
        <f aca="false">J111/J86</f>
        <v>0.412001572576921</v>
      </c>
      <c r="K114" s="37" t="n">
        <f aca="false">K111/K86</f>
        <v>0.377358797705588</v>
      </c>
      <c r="L114" s="37" t="n">
        <f aca="false">L111/L86</f>
        <v>0.33332089324994</v>
      </c>
      <c r="M114" s="37" t="n">
        <f aca="false">M111/M86</f>
        <v>0.298168407332808</v>
      </c>
      <c r="N114" s="37" t="n">
        <f aca="false">N111/N86</f>
        <v>0.273773254806317</v>
      </c>
      <c r="O114" s="37" t="n">
        <f aca="false">O111/O86</f>
        <v>0.253664572344128</v>
      </c>
      <c r="P114" s="38" t="n">
        <f aca="false">P111/P86</f>
        <v>0.241585306994407</v>
      </c>
    </row>
    <row r="115" customFormat="false" ht="15" hidden="false" customHeight="true" outlineLevel="0" collapsed="false">
      <c r="A115" s="36" t="s">
        <v>83</v>
      </c>
      <c r="G115" s="42" t="n">
        <f aca="false">-G111/G112</f>
        <v>6.23876826750341</v>
      </c>
      <c r="H115" s="42" t="n">
        <f aca="false">-H111/H112</f>
        <v>4.18134772025726</v>
      </c>
      <c r="I115" s="42" t="n">
        <f aca="false">-I111/I112</f>
        <v>2.87017459653779</v>
      </c>
      <c r="J115" s="42" t="n">
        <f aca="false">-J111/J112</f>
        <v>2.13932903614685</v>
      </c>
      <c r="K115" s="42" t="n">
        <f aca="false">-K111/K112</f>
        <v>1.76304735147679</v>
      </c>
      <c r="L115" s="42" t="n">
        <f aca="false">-L111/L112</f>
        <v>1.49931396172594</v>
      </c>
      <c r="M115" s="42" t="n">
        <f aca="false">-M111/M112</f>
        <v>1.36701283440362</v>
      </c>
      <c r="N115" s="42" t="n">
        <f aca="false">-N111/N112</f>
        <v>1.29909382147816</v>
      </c>
      <c r="O115" s="42" t="n">
        <f aca="false">-O111/O112</f>
        <v>1.25095331485175</v>
      </c>
      <c r="P115" s="43" t="n">
        <f aca="false">-P111/P112</f>
        <v>1.23875222472359</v>
      </c>
    </row>
    <row r="116" customFormat="false" ht="15" hidden="false" customHeight="true" outlineLevel="0" collapsed="false">
      <c r="A116" s="44" t="s">
        <v>84</v>
      </c>
      <c r="B116" s="20"/>
      <c r="C116" s="20"/>
      <c r="D116" s="20"/>
      <c r="E116" s="20"/>
      <c r="F116" s="20"/>
      <c r="G116" s="45" t="n">
        <f aca="false">-G110/G112</f>
        <v>7.69230769230769</v>
      </c>
      <c r="H116" s="45" t="n">
        <f aca="false">-H110/H112</f>
        <v>6.66666666666667</v>
      </c>
      <c r="I116" s="45" t="n">
        <f aca="false">-I110/I112</f>
        <v>6.06060606060606</v>
      </c>
      <c r="J116" s="45" t="n">
        <f aca="false">-J110/J112</f>
        <v>5.71428571428572</v>
      </c>
      <c r="K116" s="45" t="n">
        <f aca="false">-K110/K112</f>
        <v>5.55555555555556</v>
      </c>
      <c r="L116" s="45" t="n">
        <f aca="false">-L110/L112</f>
        <v>5.55555555555556</v>
      </c>
      <c r="M116" s="45" t="n">
        <f aca="false">-M110/M112</f>
        <v>5.71428571428571</v>
      </c>
      <c r="N116" s="45" t="n">
        <f aca="false">-N110/N112</f>
        <v>5.88235294117647</v>
      </c>
      <c r="O116" s="45" t="n">
        <f aca="false">-O110/O112</f>
        <v>6.06060606060606</v>
      </c>
      <c r="P116" s="46" t="n">
        <f aca="false">-P110/P112</f>
        <v>6.25</v>
      </c>
    </row>
    <row r="117" customFormat="false" ht="15" hidden="false" customHeight="true" outlineLevel="0" collapsed="false">
      <c r="A117" s="5" t="s">
        <v>85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customFormat="false" ht="15" hidden="false" customHeight="true" outlineLevel="0" collapsed="false">
      <c r="A118" s="21" t="s">
        <v>44</v>
      </c>
      <c r="B118" s="22"/>
      <c r="C118" s="22"/>
      <c r="D118" s="22"/>
      <c r="E118" s="22"/>
      <c r="F118" s="22"/>
      <c r="G118" s="23" t="s">
        <v>19</v>
      </c>
      <c r="H118" s="23" t="s">
        <v>20</v>
      </c>
      <c r="I118" s="23" t="s">
        <v>21</v>
      </c>
      <c r="J118" s="23" t="s">
        <v>22</v>
      </c>
      <c r="K118" s="23" t="s">
        <v>23</v>
      </c>
      <c r="L118" s="23" t="s">
        <v>24</v>
      </c>
      <c r="M118" s="23" t="s">
        <v>25</v>
      </c>
      <c r="N118" s="23" t="s">
        <v>26</v>
      </c>
      <c r="O118" s="23" t="s">
        <v>27</v>
      </c>
      <c r="P118" s="24" t="s">
        <v>28</v>
      </c>
    </row>
    <row r="119" customFormat="false" ht="15" hidden="false" customHeight="true" outlineLevel="0" collapsed="false">
      <c r="A119" s="10" t="s">
        <v>86</v>
      </c>
      <c r="G119" s="14" t="n">
        <f aca="false">G106</f>
        <v>133540.4395944</v>
      </c>
      <c r="H119" s="14" t="n">
        <f aca="false">H106</f>
        <v>139490.347663332</v>
      </c>
      <c r="I119" s="14" t="n">
        <f aca="false">I106</f>
        <v>137228.187862272</v>
      </c>
      <c r="J119" s="14" t="n">
        <f aca="false">J106</f>
        <v>134720.289336081</v>
      </c>
      <c r="K119" s="14" t="n">
        <f aca="false">K106</f>
        <v>138767.822146292</v>
      </c>
      <c r="L119" s="14" t="n">
        <f aca="false">L106</f>
        <v>149600.990380671</v>
      </c>
      <c r="M119" s="14" t="n">
        <f aca="false">M106</f>
        <v>168691.065925249</v>
      </c>
      <c r="N119" s="14" t="n">
        <f aca="false">N106</f>
        <v>189094.365558607</v>
      </c>
      <c r="O119" s="14" t="n">
        <f aca="false">O106</f>
        <v>210068.440450787</v>
      </c>
      <c r="P119" s="35" t="n">
        <f aca="false">P106</f>
        <v>229565.298183859</v>
      </c>
    </row>
    <row r="120" customFormat="false" ht="15" hidden="false" customHeight="true" outlineLevel="0" collapsed="false">
      <c r="A120" s="10" t="s">
        <v>87</v>
      </c>
      <c r="G120" s="14" t="n">
        <f aca="false">G99</f>
        <v>32057.61</v>
      </c>
      <c r="H120" s="14" t="n">
        <f aca="false">H99</f>
        <v>62180.9085</v>
      </c>
      <c r="I120" s="14" t="n">
        <f aca="false">I99</f>
        <v>101039.1494475</v>
      </c>
      <c r="J120" s="14" t="n">
        <f aca="false">J99</f>
        <v>140230.883109187</v>
      </c>
      <c r="K120" s="14" t="n">
        <f aca="false">K99</f>
        <v>172995.920809796</v>
      </c>
      <c r="L120" s="14" t="n">
        <f aca="false">L99</f>
        <v>196756.655064033</v>
      </c>
      <c r="M120" s="14" t="n">
        <f aca="false">M99</f>
        <v>208483.77778716</v>
      </c>
      <c r="N120" s="14" t="n">
        <f aca="false">N99</f>
        <v>215534.856197995</v>
      </c>
      <c r="O120" s="14" t="n">
        <f aca="false">O99</f>
        <v>219832.344448914</v>
      </c>
      <c r="P120" s="35" t="n">
        <f aca="false">P99</f>
        <v>221997.583141666</v>
      </c>
    </row>
    <row r="121" customFormat="false" ht="15" hidden="false" customHeight="true" outlineLevel="0" collapsed="false">
      <c r="A121" s="10" t="s">
        <v>88</v>
      </c>
      <c r="G121" s="14" t="n">
        <f aca="false">-G111</f>
        <v>-200000</v>
      </c>
      <c r="H121" s="14" t="n">
        <f aca="false">-H111</f>
        <v>-260000</v>
      </c>
      <c r="I121" s="14" t="n">
        <f aca="false">-I111</f>
        <v>-290000</v>
      </c>
      <c r="J121" s="14" t="n">
        <f aca="false">-J111</f>
        <v>-300000</v>
      </c>
      <c r="K121" s="14" t="n">
        <f aca="false">-K111</f>
        <v>-305000</v>
      </c>
      <c r="L121" s="14" t="n">
        <f aca="false">-L111</f>
        <v>-295000</v>
      </c>
      <c r="M121" s="14" t="n">
        <f aca="false">-M111</f>
        <v>-285000</v>
      </c>
      <c r="N121" s="14" t="n">
        <f aca="false">-N111</f>
        <v>-280000</v>
      </c>
      <c r="O121" s="14" t="n">
        <f aca="false">-O111</f>
        <v>-275000</v>
      </c>
      <c r="P121" s="35" t="n">
        <f aca="false">-P111</f>
        <v>-275000</v>
      </c>
    </row>
    <row r="122" customFormat="false" ht="15" hidden="false" customHeight="true" outlineLevel="0" collapsed="false">
      <c r="A122" s="10" t="s">
        <v>89</v>
      </c>
      <c r="G122" s="14" t="n">
        <f aca="false">-(G86-F86)*$B$18</f>
        <v>1522.72008</v>
      </c>
      <c r="H122" s="14" t="n">
        <f aca="false">-(H86-G86)*$B$18</f>
        <v>1491.5405736</v>
      </c>
      <c r="I122" s="14" t="n">
        <f aca="false">-(I86-H86)*$B$18</f>
        <v>1437.143211504</v>
      </c>
      <c r="J122" s="14" t="n">
        <f aca="false">-(J86-I86)*$B$18</f>
        <v>1404.29422381248</v>
      </c>
      <c r="K122" s="14" t="n">
        <f aca="false">-(K86-J86)*$B$18</f>
        <v>1441.74206978081</v>
      </c>
      <c r="L122" s="14" t="n">
        <f aca="false">-(L86-K86)*$B$18</f>
        <v>1382.10637507624</v>
      </c>
      <c r="M122" s="14" t="n">
        <f aca="false">-(M86-L86)*$B$18</f>
        <v>1274.44756270188</v>
      </c>
      <c r="N122" s="14" t="n">
        <f aca="false">-(N86-M86)*$B$18</f>
        <v>1204.35294675328</v>
      </c>
      <c r="O122" s="14" t="n">
        <f aca="false">-(O86-N86)*$B$18</f>
        <v>1104.56370259372</v>
      </c>
      <c r="P122" s="35" t="n">
        <f aca="false">-(P86-O86)*$B$18</f>
        <v>975.697937291123</v>
      </c>
    </row>
    <row r="123" customFormat="false" ht="15" hidden="false" customHeight="true" outlineLevel="0" collapsed="false">
      <c r="A123" s="28" t="s">
        <v>85</v>
      </c>
      <c r="G123" s="31" t="n">
        <f aca="false">SUM(G119:G122)</f>
        <v>-32879.2303256</v>
      </c>
      <c r="H123" s="31" t="n">
        <f aca="false">SUM(H119:H122)</f>
        <v>-56837.203263068</v>
      </c>
      <c r="I123" s="31" t="n">
        <f aca="false">SUM(I119:I122)</f>
        <v>-50295.5194787241</v>
      </c>
      <c r="J123" s="31" t="n">
        <f aca="false">SUM(J119:J122)</f>
        <v>-23644.5333309192</v>
      </c>
      <c r="K123" s="31" t="n">
        <f aca="false">SUM(K119:K122)</f>
        <v>8205.48502586926</v>
      </c>
      <c r="L123" s="31" t="n">
        <f aca="false">SUM(L119:L122)</f>
        <v>52739.7518197803</v>
      </c>
      <c r="M123" s="31" t="n">
        <f aca="false">SUM(M119:M122)</f>
        <v>93449.29127511</v>
      </c>
      <c r="N123" s="31" t="n">
        <f aca="false">SUM(N119:N122)</f>
        <v>125833.574703355</v>
      </c>
      <c r="O123" s="31" t="n">
        <f aca="false">SUM(O119:O122)</f>
        <v>156005.348602295</v>
      </c>
      <c r="P123" s="32" t="n">
        <f aca="false">SUM(P119:P122)</f>
        <v>177538.579262816</v>
      </c>
    </row>
    <row r="124" customFormat="false" ht="15" hidden="false" customHeight="true" outlineLevel="0" collapsed="false">
      <c r="A124" s="44" t="s">
        <v>90</v>
      </c>
      <c r="B124" s="20"/>
      <c r="C124" s="20"/>
      <c r="D124" s="20"/>
      <c r="E124" s="20"/>
      <c r="F124" s="20"/>
      <c r="G124" s="47" t="n">
        <f aca="false">G123/G86</f>
        <v>-0.067454044882937</v>
      </c>
      <c r="H124" s="47" t="n">
        <f aca="false">H123/H86</f>
        <v>-0.0996628248850986</v>
      </c>
      <c r="I124" s="47" t="n">
        <f aca="false">I123/I86</f>
        <v>-0.0773615103102147</v>
      </c>
      <c r="J124" s="47" t="n">
        <f aca="false">J123/J86</f>
        <v>-0.0324719497172871</v>
      </c>
      <c r="K124" s="47" t="n">
        <f aca="false">K123/K86</f>
        <v>0.0101521703736172</v>
      </c>
      <c r="L124" s="47" t="n">
        <f aca="false">L123/L86</f>
        <v>0.0595907158859298</v>
      </c>
      <c r="M124" s="47" t="n">
        <f aca="false">M123/M86</f>
        <v>0.0977671099855412</v>
      </c>
      <c r="N124" s="47" t="n">
        <f aca="false">N123/N86</f>
        <v>0.123035240394469</v>
      </c>
      <c r="O124" s="47" t="n">
        <f aca="false">O123/O86</f>
        <v>0.14390192740581</v>
      </c>
      <c r="P124" s="48" t="n">
        <f aca="false">P123/P86</f>
        <v>0.155966226089303</v>
      </c>
    </row>
    <row r="125" customFormat="false" ht="15" hidden="false" customHeight="true" outlineLevel="0" collapsed="false">
      <c r="A125" s="5" t="s">
        <v>91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customFormat="false" ht="15" hidden="false" customHeight="true" outlineLevel="0" collapsed="false">
      <c r="A126" s="21" t="s">
        <v>44</v>
      </c>
      <c r="B126" s="22"/>
      <c r="C126" s="22"/>
      <c r="D126" s="22"/>
      <c r="E126" s="22"/>
      <c r="F126" s="22"/>
      <c r="G126" s="23" t="s">
        <v>19</v>
      </c>
      <c r="H126" s="23" t="s">
        <v>20</v>
      </c>
      <c r="I126" s="23" t="s">
        <v>21</v>
      </c>
      <c r="J126" s="23" t="s">
        <v>22</v>
      </c>
      <c r="K126" s="23" t="s">
        <v>23</v>
      </c>
      <c r="L126" s="23" t="s">
        <v>24</v>
      </c>
      <c r="M126" s="23" t="s">
        <v>25</v>
      </c>
      <c r="N126" s="23" t="s">
        <v>26</v>
      </c>
      <c r="O126" s="23" t="s">
        <v>27</v>
      </c>
      <c r="P126" s="24" t="s">
        <v>28</v>
      </c>
    </row>
    <row r="127" customFormat="false" ht="15" hidden="false" customHeight="true" outlineLevel="0" collapsed="false">
      <c r="A127" s="10" t="s">
        <v>92</v>
      </c>
      <c r="G127" s="14" t="n">
        <f aca="false">G123</f>
        <v>-32879.2303256</v>
      </c>
      <c r="H127" s="14" t="n">
        <f aca="false">H123</f>
        <v>-56837.203263068</v>
      </c>
      <c r="I127" s="14" t="n">
        <f aca="false">I123</f>
        <v>-50295.5194787241</v>
      </c>
      <c r="J127" s="14" t="n">
        <f aca="false">J123</f>
        <v>-23644.5333309192</v>
      </c>
      <c r="K127" s="14" t="n">
        <f aca="false">K123</f>
        <v>8205.48502586926</v>
      </c>
      <c r="L127" s="14" t="n">
        <f aca="false">L123</f>
        <v>52739.7518197803</v>
      </c>
      <c r="M127" s="14" t="n">
        <f aca="false">M123</f>
        <v>93449.29127511</v>
      </c>
      <c r="N127" s="14" t="n">
        <f aca="false">N123</f>
        <v>125833.574703355</v>
      </c>
      <c r="O127" s="14" t="n">
        <f aca="false">O123</f>
        <v>156005.348602295</v>
      </c>
      <c r="P127" s="35" t="n">
        <f aca="false">P123</f>
        <v>177538.579262816</v>
      </c>
    </row>
    <row r="128" customFormat="false" ht="15" hidden="false" customHeight="true" outlineLevel="0" collapsed="false">
      <c r="A128" s="36" t="s">
        <v>93</v>
      </c>
      <c r="G128" s="49" t="n">
        <v>1</v>
      </c>
      <c r="H128" s="49" t="n">
        <v>2</v>
      </c>
      <c r="I128" s="49" t="n">
        <v>3</v>
      </c>
      <c r="J128" s="49" t="n">
        <v>4</v>
      </c>
      <c r="K128" s="49" t="n">
        <v>5</v>
      </c>
      <c r="L128" s="49" t="n">
        <v>6</v>
      </c>
      <c r="M128" s="49" t="n">
        <v>7</v>
      </c>
      <c r="N128" s="49" t="n">
        <v>8</v>
      </c>
      <c r="O128" s="49" t="n">
        <v>9</v>
      </c>
      <c r="P128" s="50" t="n">
        <v>10</v>
      </c>
    </row>
    <row r="129" customFormat="false" ht="15" hidden="false" customHeight="true" outlineLevel="0" collapsed="false">
      <c r="A129" s="10" t="s">
        <v>94</v>
      </c>
      <c r="G129" s="51" t="n">
        <f aca="false">G128-0.5</f>
        <v>0.5</v>
      </c>
      <c r="H129" s="51" t="n">
        <f aca="false">H128-0.5</f>
        <v>1.5</v>
      </c>
      <c r="I129" s="51" t="n">
        <f aca="false">I128-0.5</f>
        <v>2.5</v>
      </c>
      <c r="J129" s="51" t="n">
        <f aca="false">J128-0.5</f>
        <v>3.5</v>
      </c>
      <c r="K129" s="51" t="n">
        <f aca="false">K128-0.5</f>
        <v>4.5</v>
      </c>
      <c r="L129" s="51" t="n">
        <f aca="false">L128-0.5</f>
        <v>5.5</v>
      </c>
      <c r="M129" s="51" t="n">
        <f aca="false">M128-0.5</f>
        <v>6.5</v>
      </c>
      <c r="N129" s="51" t="n">
        <f aca="false">N128-0.5</f>
        <v>7.5</v>
      </c>
      <c r="O129" s="51" t="n">
        <f aca="false">O128-0.5</f>
        <v>8.5</v>
      </c>
      <c r="P129" s="52" t="n">
        <f aca="false">P128-0.5</f>
        <v>9.5</v>
      </c>
    </row>
    <row r="130" customFormat="false" ht="15" hidden="false" customHeight="true" outlineLevel="0" collapsed="false">
      <c r="A130" s="10" t="s">
        <v>95</v>
      </c>
      <c r="G130" s="53" t="n">
        <f aca="false">1/(1+$G$70)^G129</f>
        <v>0.95672974646988</v>
      </c>
      <c r="H130" s="53" t="n">
        <f aca="false">1/(1+$G$70)^H129</f>
        <v>0.875725168393483</v>
      </c>
      <c r="I130" s="53" t="n">
        <f aca="false">1/(1+$G$70)^I129</f>
        <v>0.801579101504332</v>
      </c>
      <c r="J130" s="53" t="n">
        <f aca="false">1/(1+$G$70)^J129</f>
        <v>0.733710848058885</v>
      </c>
      <c r="K130" s="53" t="n">
        <f aca="false">1/(1+$G$70)^K129</f>
        <v>0.671588876941771</v>
      </c>
      <c r="L130" s="53" t="n">
        <f aca="false">1/(1+$G$70)^L129</f>
        <v>0.614726660816267</v>
      </c>
      <c r="M130" s="53" t="n">
        <f aca="false">1/(1+$G$70)^M129</f>
        <v>0.562678865735713</v>
      </c>
      <c r="N130" s="53" t="n">
        <f aca="false">1/(1+$G$70)^N129</f>
        <v>0.51503786337365</v>
      </c>
      <c r="O130" s="53" t="n">
        <f aca="false">1/(1+$G$70)^O129</f>
        <v>0.471430538557117</v>
      </c>
      <c r="P130" s="54" t="n">
        <f aca="false">1/(1+$G$70)^P129</f>
        <v>0.431515367100336</v>
      </c>
    </row>
    <row r="131" customFormat="false" ht="15" hidden="false" customHeight="true" outlineLevel="0" collapsed="false">
      <c r="A131" s="33" t="s">
        <v>96</v>
      </c>
      <c r="B131" s="20"/>
      <c r="C131" s="20"/>
      <c r="D131" s="20"/>
      <c r="E131" s="20"/>
      <c r="F131" s="20"/>
      <c r="G131" s="39" t="n">
        <f aca="false">G127*G130</f>
        <v>-31456.5376935361</v>
      </c>
      <c r="H131" s="39" t="n">
        <f aca="false">H127*H130</f>
        <v>-49773.7693985648</v>
      </c>
      <c r="I131" s="39" t="n">
        <f aca="false">I127*I130</f>
        <v>-40315.8373134493</v>
      </c>
      <c r="J131" s="39" t="n">
        <f aca="false">J127*J130</f>
        <v>-17348.2506021853</v>
      </c>
      <c r="K131" s="39" t="n">
        <f aca="false">K127*K130</f>
        <v>5510.71247328606</v>
      </c>
      <c r="L131" s="39" t="n">
        <f aca="false">L127*L130</f>
        <v>32420.5315284521</v>
      </c>
      <c r="M131" s="39" t="n">
        <f aca="false">M127*M130</f>
        <v>52581.9412184851</v>
      </c>
      <c r="N131" s="39" t="n">
        <f aca="false">N127*N130</f>
        <v>64809.0554558848</v>
      </c>
      <c r="O131" s="39" t="n">
        <f aca="false">O127*O130</f>
        <v>73545.6855093709</v>
      </c>
      <c r="P131" s="40" t="n">
        <f aca="false">P127*P130</f>
        <v>76610.6252050663</v>
      </c>
    </row>
    <row r="133" customFormat="false" ht="15" hidden="false" customHeight="true" outlineLevel="0" collapsed="false">
      <c r="A133" s="5" t="s">
        <v>97</v>
      </c>
      <c r="B133" s="5"/>
      <c r="C133" s="5"/>
      <c r="D133" s="5"/>
      <c r="E133" s="5"/>
      <c r="F133" s="5"/>
    </row>
    <row r="134" customFormat="false" ht="15" hidden="false" customHeight="true" outlineLevel="0" collapsed="false">
      <c r="A134" s="10" t="s">
        <v>98</v>
      </c>
      <c r="B134" s="14" t="n">
        <f aca="false">P106</f>
        <v>229565.298183859</v>
      </c>
      <c r="F134" s="12"/>
    </row>
    <row r="135" customFormat="false" ht="15" hidden="false" customHeight="true" outlineLevel="0" collapsed="false">
      <c r="A135" s="10" t="s">
        <v>99</v>
      </c>
      <c r="B135" s="14" t="n">
        <f aca="false">P99</f>
        <v>221997.583141666</v>
      </c>
      <c r="F135" s="12"/>
    </row>
    <row r="136" customFormat="false" ht="15" hidden="false" customHeight="true" outlineLevel="0" collapsed="false">
      <c r="A136" s="10" t="s">
        <v>100</v>
      </c>
      <c r="B136" s="14" t="n">
        <f aca="false">-P99*$B$17</f>
        <v>-255297.220612916</v>
      </c>
      <c r="F136" s="12"/>
    </row>
    <row r="137" customFormat="false" ht="15" hidden="false" customHeight="true" outlineLevel="0" collapsed="false">
      <c r="A137" s="10" t="s">
        <v>101</v>
      </c>
      <c r="B137" s="14" t="n">
        <f aca="false">-P86*$G$69*$B$18</f>
        <v>614.689700493406</v>
      </c>
      <c r="F137" s="12"/>
    </row>
    <row r="138" customFormat="false" ht="15" hidden="false" customHeight="true" outlineLevel="0" collapsed="false">
      <c r="A138" s="28" t="s">
        <v>102</v>
      </c>
      <c r="B138" s="31" t="n">
        <f aca="false">SUM(B134:B137)</f>
        <v>196880.350413103</v>
      </c>
      <c r="F138" s="12"/>
    </row>
    <row r="139" customFormat="false" ht="15" hidden="false" customHeight="true" outlineLevel="0" collapsed="false">
      <c r="A139" s="10" t="s">
        <v>103</v>
      </c>
      <c r="B139" s="37" t="n">
        <f aca="false">$G$69</f>
        <v>0.03</v>
      </c>
      <c r="F139" s="12"/>
    </row>
    <row r="140" customFormat="false" ht="15" hidden="false" customHeight="true" outlineLevel="0" collapsed="false">
      <c r="A140" s="10" t="s">
        <v>104</v>
      </c>
      <c r="B140" s="55" t="n">
        <f aca="false">$G$70</f>
        <v>0.0925</v>
      </c>
      <c r="F140" s="12"/>
    </row>
    <row r="141" customFormat="false" ht="15" hidden="false" customHeight="true" outlineLevel="0" collapsed="false">
      <c r="A141" s="10" t="s">
        <v>105</v>
      </c>
      <c r="B141" s="14" t="n">
        <f aca="false">B138*(1+B139)</f>
        <v>202786.760925496</v>
      </c>
      <c r="F141" s="12"/>
    </row>
    <row r="142" customFormat="false" ht="15" hidden="false" customHeight="true" outlineLevel="0" collapsed="false">
      <c r="A142" s="10" t="s">
        <v>106</v>
      </c>
      <c r="B142" s="14" t="n">
        <f aca="false">B141/(B140-B139)</f>
        <v>3244588.17480793</v>
      </c>
      <c r="F142" s="12"/>
    </row>
    <row r="143" customFormat="false" ht="15" hidden="false" customHeight="true" outlineLevel="0" collapsed="false">
      <c r="A143" s="10" t="s">
        <v>107</v>
      </c>
      <c r="B143" s="53" t="n">
        <f aca="false">1/(1+B140)^P129</f>
        <v>0.431515367100336</v>
      </c>
      <c r="F143" s="12"/>
    </row>
    <row r="144" customFormat="false" ht="15" hidden="false" customHeight="true" outlineLevel="0" collapsed="false">
      <c r="A144" s="33" t="s">
        <v>108</v>
      </c>
      <c r="B144" s="39" t="n">
        <f aca="false">B142*B143</f>
        <v>1400089.65734165</v>
      </c>
      <c r="C144" s="20"/>
      <c r="D144" s="20"/>
      <c r="E144" s="20"/>
      <c r="F144" s="9"/>
    </row>
    <row r="146" customFormat="false" ht="15" hidden="false" customHeight="true" outlineLevel="0" collapsed="false">
      <c r="A146" s="5" t="s">
        <v>109</v>
      </c>
      <c r="B146" s="5"/>
      <c r="C146" s="5"/>
      <c r="D146" s="5"/>
      <c r="E146" s="5"/>
      <c r="F146" s="5"/>
    </row>
    <row r="147" customFormat="false" ht="15" hidden="false" customHeight="true" outlineLevel="0" collapsed="false">
      <c r="A147" s="10" t="s">
        <v>110</v>
      </c>
      <c r="B147" s="14" t="n">
        <f aca="false">SUM(G131:P131)</f>
        <v>166584.15638281</v>
      </c>
      <c r="F147" s="12"/>
    </row>
    <row r="148" customFormat="false" ht="15" hidden="false" customHeight="true" outlineLevel="0" collapsed="false">
      <c r="A148" s="10" t="s">
        <v>108</v>
      </c>
      <c r="B148" s="14" t="n">
        <f aca="false">B144</f>
        <v>1400089.65734165</v>
      </c>
      <c r="F148" s="12"/>
    </row>
    <row r="149" customFormat="false" ht="15" hidden="false" customHeight="true" outlineLevel="0" collapsed="false">
      <c r="A149" s="28" t="s">
        <v>111</v>
      </c>
      <c r="B149" s="31" t="n">
        <f aca="false">B147+B148</f>
        <v>1566673.81372446</v>
      </c>
      <c r="F149" s="12"/>
    </row>
    <row r="150" customFormat="false" ht="15" hidden="false" customHeight="true" outlineLevel="0" collapsed="false">
      <c r="A150" s="10" t="s">
        <v>112</v>
      </c>
      <c r="B150" s="14" t="n">
        <f aca="false">$B$15</f>
        <v>80296</v>
      </c>
      <c r="F150" s="12"/>
    </row>
    <row r="151" customFormat="false" ht="15" hidden="false" customHeight="true" outlineLevel="0" collapsed="false">
      <c r="A151" s="28" t="s">
        <v>113</v>
      </c>
      <c r="B151" s="31" t="n">
        <f aca="false">B149+B150</f>
        <v>1646969.81372446</v>
      </c>
      <c r="F151" s="12"/>
    </row>
    <row r="152" customFormat="false" ht="15" hidden="false" customHeight="true" outlineLevel="0" collapsed="false">
      <c r="A152" s="10" t="s">
        <v>114</v>
      </c>
      <c r="B152" s="56" t="n">
        <f aca="false">$B$11</f>
        <v>12450</v>
      </c>
      <c r="F152" s="12"/>
    </row>
    <row r="153" customFormat="false" ht="15" hidden="false" customHeight="true" outlineLevel="0" collapsed="false">
      <c r="A153" s="28" t="s">
        <v>115</v>
      </c>
      <c r="B153" s="57" t="n">
        <f aca="false">B151/B152</f>
        <v>132.286732026061</v>
      </c>
      <c r="F153" s="12"/>
    </row>
    <row r="154" customFormat="false" ht="15" hidden="false" customHeight="true" outlineLevel="0" collapsed="false">
      <c r="A154" s="10" t="s">
        <v>116</v>
      </c>
      <c r="B154" s="58" t="n">
        <f aca="false">(1+$G$70)^$B$19</f>
        <v>1.06247492747935</v>
      </c>
      <c r="F154" s="12"/>
    </row>
    <row r="155" customFormat="false" ht="15" hidden="false" customHeight="true" outlineLevel="0" collapsed="false">
      <c r="A155" s="28" t="s">
        <v>117</v>
      </c>
      <c r="B155" s="57" t="n">
        <f aca="false">B153*B154</f>
        <v>140.55133601587</v>
      </c>
      <c r="F155" s="12"/>
    </row>
    <row r="156" customFormat="false" ht="15" hidden="false" customHeight="true" outlineLevel="0" collapsed="false">
      <c r="A156" s="10" t="s">
        <v>118</v>
      </c>
      <c r="B156" s="59" t="n">
        <f aca="false">$B$10</f>
        <v>335.31</v>
      </c>
      <c r="F156" s="12"/>
    </row>
    <row r="157" customFormat="false" ht="15" hidden="false" customHeight="true" outlineLevel="0" collapsed="false">
      <c r="A157" s="33" t="s">
        <v>119</v>
      </c>
      <c r="B157" s="60" t="n">
        <f aca="false">B155/B156-1</f>
        <v>-0.580831660207361</v>
      </c>
      <c r="C157" s="20"/>
      <c r="D157" s="20"/>
      <c r="E157" s="20"/>
      <c r="F157" s="9"/>
    </row>
    <row r="159" customFormat="false" ht="15" hidden="false" customHeight="true" outlineLevel="0" collapsed="false">
      <c r="A159" s="5" t="s">
        <v>120</v>
      </c>
      <c r="B159" s="5"/>
      <c r="C159" s="5"/>
      <c r="D159" s="5"/>
      <c r="E159" s="5"/>
      <c r="F159" s="5"/>
    </row>
    <row r="160" customFormat="false" ht="15" hidden="false" customHeight="true" outlineLevel="0" collapsed="false">
      <c r="A160" s="10" t="s">
        <v>121</v>
      </c>
      <c r="B160" s="37" t="n">
        <f aca="false">B148/B149</f>
        <v>0.893670172486774</v>
      </c>
      <c r="F160" s="12"/>
    </row>
    <row r="161" customFormat="false" ht="15" hidden="false" customHeight="true" outlineLevel="0" collapsed="false">
      <c r="A161" s="10" t="s">
        <v>122</v>
      </c>
      <c r="B161" s="61" t="str">
        <f aca="false">IF(AND(B160&gt;=0.5,B160&lt;=0.7),"OK","FLAG — outside 50–70% band; front-loaded capex pushes value into the terminal period")</f>
        <v>FLAG — outside 50–70% band; front-loaded capex pushes value into the terminal period</v>
      </c>
      <c r="F161" s="12"/>
    </row>
    <row r="162" customFormat="false" ht="15" hidden="false" customHeight="true" outlineLevel="0" collapsed="false">
      <c r="A162" s="10" t="s">
        <v>123</v>
      </c>
      <c r="B162" s="61" t="str">
        <f aca="false">IF($G$69&lt;$G$70,"OK","FAIL — infinite value")</f>
        <v>OK</v>
      </c>
      <c r="F162" s="12"/>
    </row>
    <row r="163" customFormat="false" ht="15" hidden="false" customHeight="true" outlineLevel="0" collapsed="false">
      <c r="A163" s="10" t="s">
        <v>124</v>
      </c>
      <c r="B163" s="61" t="str">
        <f aca="false">IF(AND(G68&gt;=0.15,G68&lt;=0.28),"OK","FLAG")</f>
        <v>OK</v>
      </c>
      <c r="F163" s="12"/>
    </row>
    <row r="164" customFormat="false" ht="15" hidden="false" customHeight="true" outlineLevel="0" collapsed="false">
      <c r="A164" s="10" t="s">
        <v>125</v>
      </c>
      <c r="B164" s="42" t="n">
        <f aca="false">B149/G86</f>
        <v>3.21414110675243</v>
      </c>
      <c r="F164" s="12"/>
    </row>
    <row r="165" customFormat="false" ht="15" hidden="false" customHeight="true" outlineLevel="0" collapsed="false">
      <c r="A165" s="10" t="s">
        <v>126</v>
      </c>
      <c r="B165" s="42" t="n">
        <f aca="false">B149/L97</f>
        <v>4.1071620199137</v>
      </c>
      <c r="F165" s="12"/>
    </row>
    <row r="166" customFormat="false" ht="15" hidden="false" customHeight="true" outlineLevel="0" collapsed="false">
      <c r="A166" s="10" t="s">
        <v>127</v>
      </c>
      <c r="B166" s="14" t="n">
        <f aca="false">SUM(G111:P111)</f>
        <v>2765000</v>
      </c>
      <c r="F166" s="12"/>
    </row>
    <row r="167" customFormat="false" ht="15" hidden="false" customHeight="true" outlineLevel="0" collapsed="false">
      <c r="A167" s="10" t="s">
        <v>128</v>
      </c>
      <c r="B167" s="14" t="n">
        <f aca="false">SUM(G123:P123)</f>
        <v>450115.544290915</v>
      </c>
      <c r="F167" s="12"/>
    </row>
    <row r="168" customFormat="false" ht="15" hidden="false" customHeight="true" outlineLevel="0" collapsed="false">
      <c r="A168" s="6" t="s">
        <v>129</v>
      </c>
      <c r="B168" s="47" t="n">
        <f aca="false">P102</f>
        <v>0.248976893544378</v>
      </c>
      <c r="C168" s="20"/>
      <c r="D168" s="20"/>
      <c r="E168" s="20"/>
      <c r="F168" s="9"/>
    </row>
    <row r="169" customFormat="false" ht="15" hidden="false" customHeight="true" outlineLevel="0" collapsed="false">
      <c r="A169" s="4" t="s">
        <v>130</v>
      </c>
    </row>
    <row r="171" customFormat="false" ht="15" hidden="false" customHeight="true" outlineLevel="0" collapsed="false">
      <c r="A171" s="62" t="s">
        <v>131</v>
      </c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</row>
    <row r="172" customFormat="false" ht="15" hidden="false" customHeight="true" outlineLevel="0" collapsed="false">
      <c r="A172" s="4" t="s">
        <v>132</v>
      </c>
    </row>
    <row r="174" customFormat="false" ht="15" hidden="false" customHeight="true" outlineLevel="0" collapsed="false">
      <c r="A174" s="63" t="s">
        <v>133</v>
      </c>
      <c r="B174" s="64"/>
      <c r="C174" s="64"/>
      <c r="D174" s="64"/>
      <c r="E174" s="64"/>
      <c r="F174" s="65"/>
    </row>
    <row r="175" customFormat="false" ht="15" hidden="false" customHeight="true" outlineLevel="0" collapsed="false">
      <c r="A175" s="66" t="s">
        <v>134</v>
      </c>
      <c r="B175" s="67" t="n">
        <f aca="false">$G$69-0.01</f>
        <v>0.02</v>
      </c>
      <c r="C175" s="67" t="n">
        <f aca="false">$G$69-0.005</f>
        <v>0.025</v>
      </c>
      <c r="D175" s="67" t="n">
        <f aca="false">$G$69</f>
        <v>0.03</v>
      </c>
      <c r="E175" s="67" t="n">
        <f aca="false">$G$69+0.005</f>
        <v>0.035</v>
      </c>
      <c r="F175" s="68" t="n">
        <f aca="false">$G$69+0.01</f>
        <v>0.04</v>
      </c>
    </row>
    <row r="176" customFormat="false" ht="15" hidden="false" customHeight="true" outlineLevel="0" collapsed="false">
      <c r="A176" s="69" t="n">
        <f aca="false">$G$70-0.01</f>
        <v>0.0825</v>
      </c>
      <c r="B176" s="59" t="n">
        <f aca="false">(SUMPRODUCT($G$127:$P$127,1/(1+$A176)^$G$129:$P$129)+(($P$106+$P$99-$P$99*$B$17-$P$86*B$175*$B$18)*(1+B$175)/($A176-B$175))/(1+$A176)^$P$129+$B$15)/$B$11*(1+$A176)^$B$19</f>
        <v>150.846931182302</v>
      </c>
      <c r="C176" s="59" t="n">
        <f aca="false">(SUMPRODUCT($G$127:$P$127,1/(1+$A176)^$G$129:$P$129)+(($P$106+$P$99-$P$99*$B$17-$P$86*C$175*$B$18)*(1+C$175)/($A176-C$175))/(1+$A176)^$P$129+$B$15)/$B$11*(1+$A176)^$B$19</f>
        <v>162.748884655286</v>
      </c>
      <c r="D176" s="59" t="n">
        <f aca="false">(SUMPRODUCT($G$127:$P$127,1/(1+$A176)^$G$129:$P$129)+(($P$106+$P$99-$P$99*$B$17-$P$86*D$175*$B$18)*(1+D$175)/($A176-D$175))/(1+$A176)^$P$129+$B$15)/$B$11*(1+$A176)^$B$19</f>
        <v>176.918656165958</v>
      </c>
      <c r="E176" s="59" t="n">
        <f aca="false">(SUMPRODUCT($G$127:$P$127,1/(1+$A176)^$G$129:$P$129)+(($P$106+$P$99-$P$99*$B$17-$P$86*E$175*$B$18)*(1+E$175)/($A176-E$175))/(1+$A176)^$P$129+$B$15)/$B$11*(1+$A176)^$B$19</f>
        <v>194.072398778852</v>
      </c>
      <c r="F176" s="70" t="n">
        <f aca="false">(SUMPRODUCT($G$127:$P$127,1/(1+$A176)^$G$129:$P$129)+(($P$106+$P$99-$P$99*$B$17-$P$86*F$175*$B$18)*(1+F$175)/($A176-F$175))/(1+$A176)^$P$129+$B$15)/$B$11*(1+$A176)^$B$19</f>
        <v>215.263278765339</v>
      </c>
    </row>
    <row r="177" customFormat="false" ht="15" hidden="false" customHeight="true" outlineLevel="0" collapsed="false">
      <c r="A177" s="69" t="n">
        <f aca="false">$G$70-0.005</f>
        <v>0.0875</v>
      </c>
      <c r="B177" s="59" t="n">
        <f aca="false">(SUMPRODUCT($G$127:$P$127,1/(1+$A177)^$G$129:$P$129)+(($P$106+$P$99-$P$99*$B$17-$P$86*B$175*$B$18)*(1+B$175)/($A177-B$175))/(1+$A177)^$P$129+$B$15)/$B$11*(1+$A177)^$B$19</f>
        <v>135.811557097932</v>
      </c>
      <c r="C177" s="59" t="n">
        <f aca="false">(SUMPRODUCT($G$127:$P$127,1/(1+$A177)^$G$129:$P$129)+(($P$106+$P$99-$P$99*$B$17-$P$86*C$175*$B$18)*(1+C$175)/($A177-C$175))/(1+$A177)^$P$129+$B$15)/$B$11*(1+$A177)^$B$19</f>
        <v>145.596117574262</v>
      </c>
      <c r="D177" s="59" t="n">
        <f aca="false">(SUMPRODUCT($G$127:$P$127,1/(1+$A177)^$G$129:$P$129)+(($P$106+$P$99-$P$99*$B$17-$P$86*D$175*$B$18)*(1+D$175)/($A177-D$175))/(1+$A177)^$P$129+$B$15)/$B$11*(1+$A177)^$B$19</f>
        <v>157.083023935293</v>
      </c>
      <c r="E177" s="59" t="n">
        <f aca="false">(SUMPRODUCT($G$127:$P$127,1/(1+$A177)^$G$129:$P$129)+(($P$106+$P$99-$P$99*$B$17-$P$86*E$175*$B$18)*(1+E$175)/($A177-E$175))/(1+$A177)^$P$129+$B$15)/$B$11*(1+$A177)^$B$19</f>
        <v>170.758660719512</v>
      </c>
      <c r="F177" s="70" t="n">
        <f aca="false">(SUMPRODUCT($G$127:$P$127,1/(1+$A177)^$G$129:$P$129)+(($P$106+$P$99-$P$99*$B$17-$P$86*F$175*$B$18)*(1+F$175)/($A177-F$175))/(1+$A177)^$P$129+$B$15)/$B$11*(1+$A177)^$B$19</f>
        <v>187.314205955294</v>
      </c>
    </row>
    <row r="178" customFormat="false" ht="15" hidden="false" customHeight="true" outlineLevel="0" collapsed="false">
      <c r="A178" s="69" t="n">
        <f aca="false">$G$70</f>
        <v>0.0925</v>
      </c>
      <c r="B178" s="59" t="n">
        <f aca="false">(SUMPRODUCT($G$127:$P$127,1/(1+$A178)^$G$129:$P$129)+(($P$106+$P$99-$P$99*$B$17-$P$86*B$175*$B$18)*(1+B$175)/($A178-B$175))/(1+$A178)^$P$129+$B$15)/$B$11*(1+$A178)^$B$19</f>
        <v>122.964779145118</v>
      </c>
      <c r="C178" s="59" t="n">
        <f aca="false">(SUMPRODUCT($G$127:$P$127,1/(1+$A178)^$G$129:$P$129)+(($P$106+$P$99-$P$99*$B$17-$P$86*C$175*$B$18)*(1+C$175)/($A178-C$175))/(1+$A178)^$P$129+$B$15)/$B$11*(1+$A178)^$B$19</f>
        <v>131.106424164333</v>
      </c>
      <c r="D178" s="57" t="n">
        <f aca="false">(SUMPRODUCT($G$127:$P$127,1/(1+$A178)^$G$129:$P$129)+(($P$106+$P$99-$P$99*$B$17-$P$86*D$175*$B$18)*(1+D$175)/($A178-D$175))/(1+$A178)^$P$129+$B$15)/$B$11*(1+$A178)^$B$19</f>
        <v>140.55133601587</v>
      </c>
      <c r="E178" s="59" t="n">
        <f aca="false">(SUMPRODUCT($G$127:$P$127,1/(1+$A178)^$G$129:$P$129)+(($P$106+$P$99-$P$99*$B$17-$P$86*E$175*$B$18)*(1+E$175)/($A178-E$175))/(1+$A178)^$P$129+$B$15)/$B$11*(1+$A178)^$B$19</f>
        <v>151.639497351637</v>
      </c>
      <c r="F178" s="70" t="n">
        <f aca="false">(SUMPRODUCT($G$127:$P$127,1/(1+$A178)^$G$129:$P$129)+(($P$106+$P$99-$P$99*$B$17-$P$86*F$175*$B$18)*(1+F$175)/($A178-F$175))/(1+$A178)^$P$129+$B$15)/$B$11*(1+$A178)^$B$19</f>
        <v>164.840408024272</v>
      </c>
    </row>
    <row r="179" customFormat="false" ht="15" hidden="false" customHeight="true" outlineLevel="0" collapsed="false">
      <c r="A179" s="69" t="n">
        <f aca="false">$G$70+0.005</f>
        <v>0.0975</v>
      </c>
      <c r="B179" s="59" t="n">
        <f aca="false">(SUMPRODUCT($G$127:$P$127,1/(1+$A179)^$G$129:$P$129)+(($P$106+$P$99-$P$99*$B$17-$P$86*B$175*$B$18)*(1+B$175)/($A179-B$175))/(1+$A179)^$P$129+$B$15)/$B$11*(1+$A179)^$B$19</f>
        <v>111.879185175859</v>
      </c>
      <c r="C179" s="59" t="n">
        <f aca="false">(SUMPRODUCT($G$127:$P$127,1/(1+$A179)^$G$129:$P$129)+(($P$106+$P$99-$P$99*$B$17-$P$86*C$175*$B$18)*(1+C$175)/($A179-C$175))/(1+$A179)^$P$129+$B$15)/$B$11*(1+$A179)^$B$19</f>
        <v>118.724796924975</v>
      </c>
      <c r="D179" s="59" t="n">
        <f aca="false">(SUMPRODUCT($G$127:$P$127,1/(1+$A179)^$G$129:$P$129)+(($P$106+$P$99-$P$99*$B$17-$P$86*D$175*$B$18)*(1+D$175)/($A179-D$175))/(1+$A179)^$P$129+$B$15)/$B$11*(1+$A179)^$B$19</f>
        <v>126.58511024334</v>
      </c>
      <c r="E179" s="59" t="n">
        <f aca="false">(SUMPRODUCT($G$127:$P$127,1/(1+$A179)^$G$129:$P$129)+(($P$106+$P$99-$P$99*$B$17-$P$86*E$175*$B$18)*(1+E$175)/($A179-E$175))/(1+$A179)^$P$129+$B$15)/$B$11*(1+$A179)^$B$19</f>
        <v>135.703653507575</v>
      </c>
      <c r="F179" s="70" t="n">
        <f aca="false">(SUMPRODUCT($G$127:$P$127,1/(1+$A179)^$G$129:$P$129)+(($P$106+$P$99-$P$99*$B$17-$P$86*F$175*$B$18)*(1+F$175)/($A179-F$175))/(1+$A179)^$P$129+$B$15)/$B$11*(1+$A179)^$B$19</f>
        <v>146.408660616601</v>
      </c>
    </row>
    <row r="180" customFormat="false" ht="15" hidden="false" customHeight="true" outlineLevel="0" collapsed="false">
      <c r="A180" s="71" t="n">
        <f aca="false">$G$70+0.01</f>
        <v>0.1025</v>
      </c>
      <c r="B180" s="72" t="n">
        <f aca="false">(SUMPRODUCT($G$127:$P$127,1/(1+$A180)^$G$129:$P$129)+(($P$106+$P$99-$P$99*$B$17-$P$86*B$175*$B$18)*(1+B$175)/($A180-B$175))/(1+$A180)^$P$129+$B$15)/$B$11*(1+$A180)^$B$19</f>
        <v>102.231130922278</v>
      </c>
      <c r="C180" s="72" t="n">
        <f aca="false">(SUMPRODUCT($G$127:$P$127,1/(1+$A180)^$G$129:$P$129)+(($P$106+$P$99-$P$99*$B$17-$P$86*C$175*$B$18)*(1+C$175)/($A180-C$175))/(1+$A180)^$P$129+$B$15)/$B$11*(1+$A180)^$B$19</f>
        <v>108.03961676234</v>
      </c>
      <c r="D180" s="72" t="n">
        <f aca="false">(SUMPRODUCT($G$127:$P$127,1/(1+$A180)^$G$129:$P$129)+(($P$106+$P$99-$P$99*$B$17-$P$86*D$175*$B$18)*(1+D$175)/($A180-D$175))/(1+$A180)^$P$129+$B$15)/$B$11*(1+$A180)^$B$19</f>
        <v>114.649753271757</v>
      </c>
      <c r="E180" s="72" t="n">
        <f aca="false">(SUMPRODUCT($G$127:$P$127,1/(1+$A180)^$G$129:$P$129)+(($P$106+$P$99-$P$99*$B$17-$P$86*E$175*$B$18)*(1+E$175)/($A180-E$175))/(1+$A180)^$P$129+$B$15)/$B$11*(1+$A180)^$B$19</f>
        <v>122.23968504372</v>
      </c>
      <c r="F180" s="73" t="n">
        <f aca="false">(SUMPRODUCT($G$127:$P$127,1/(1+$A180)^$G$129:$P$129)+(($P$106+$P$99-$P$99*$B$17-$P$86*F$175*$B$18)*(1+F$175)/($A180-F$175))/(1+$A180)^$P$129+$B$15)/$B$11*(1+$A180)^$B$19</f>
        <v>131.044562941239</v>
      </c>
    </row>
    <row r="183" customFormat="false" ht="15" hidden="false" customHeight="true" outlineLevel="0" collapsed="false">
      <c r="A183" s="63" t="s">
        <v>135</v>
      </c>
      <c r="B183" s="64"/>
      <c r="C183" s="64"/>
      <c r="D183" s="64"/>
      <c r="E183" s="64"/>
      <c r="F183" s="65"/>
    </row>
    <row r="184" customFormat="false" ht="15" hidden="false" customHeight="true" outlineLevel="0" collapsed="false">
      <c r="A184" s="66" t="s">
        <v>136</v>
      </c>
      <c r="B184" s="67" t="n">
        <v>-0.04</v>
      </c>
      <c r="C184" s="67" t="n">
        <v>-0.02</v>
      </c>
      <c r="D184" s="67" t="n">
        <v>0</v>
      </c>
      <c r="E184" s="67" t="n">
        <v>0.02</v>
      </c>
      <c r="F184" s="68" t="n">
        <v>0.04</v>
      </c>
    </row>
    <row r="185" customFormat="false" ht="15" hidden="false" customHeight="true" outlineLevel="0" collapsed="false">
      <c r="A185" s="74" t="n">
        <v>-0.04</v>
      </c>
      <c r="B185" s="59" t="n">
        <f aca="false">(SUMPRODUCT(($G$86:$P$86*(1+$A185)^$G$128:$P$128*($G$102:$P$102+B$184)*(1-$G$68:$P$68)+$G$99:$P$99-$G$111:$P$111-(($G$86:$P$86*(1+$A185)^$G$128:$P$128)-($F$86:$O$86*(1+$A185)^($G$128:$P$128-1)))*$B$18)*$G$130:$P$130)+((($P$86*(1+$A185)^$P$128)*($P$102+B$184)*(1-$P$68)+$P$99-$P$99*$B$17-($P$86*(1+$A185)^$P$128)*$G$69*$B$18)*(1+$G$69)/($G$70-$G$69))/(1+$G$70)^$P$129+$B$15)/$B$11*(1+$G$70)^$B$19</f>
        <v>50.4550710652318</v>
      </c>
      <c r="C185" s="59" t="n">
        <f aca="false">(SUMPRODUCT(($G$86:$P$86*(1+$A185)^$G$128:$P$128*($G$102:$P$102+C$184)*(1-$G$68:$P$68)+$G$99:$P$99-$G$111:$P$111-(($G$86:$P$86*(1+$A185)^$G$128:$P$128)-($F$86:$O$86*(1+$A185)^($G$128:$P$128-1)))*$B$18)*$G$130:$P$130)+((($P$86*(1+$A185)^$P$128)*($P$102+C$184)*(1-$P$68)+$P$99-$P$99*$B$17-($P$86*(1+$A185)^$P$128)*$G$69*$B$18)*(1+$G$69)/($G$70-$G$69))/(1+$G$70)^$P$129+$B$15)/$B$11*(1+$G$70)^$B$19</f>
        <v>63.6409160102443</v>
      </c>
      <c r="D185" s="59" t="n">
        <f aca="false">(SUMPRODUCT(($G$86:$P$86*(1+$A185)^$G$128:$P$128*($G$102:$P$102+D$184)*(1-$G$68:$P$68)+$G$99:$P$99-$G$111:$P$111-(($G$86:$P$86*(1+$A185)^$G$128:$P$128)-($F$86:$O$86*(1+$A185)^($G$128:$P$128-1)))*$B$18)*$G$130:$P$130)+((($P$86*(1+$A185)^$P$128)*($P$102+D$184)*(1-$P$68)+$P$99-$P$99*$B$17-($P$86*(1+$A185)^$P$128)*$G$69*$B$18)*(1+$G$69)/($G$70-$G$69))/(1+$G$70)^$P$129+$B$15)/$B$11*(1+$G$70)^$B$19</f>
        <v>76.8267609552569</v>
      </c>
      <c r="E185" s="59" t="n">
        <f aca="false">(SUMPRODUCT(($G$86:$P$86*(1+$A185)^$G$128:$P$128*($G$102:$P$102+E$184)*(1-$G$68:$P$68)+$G$99:$P$99-$G$111:$P$111-(($G$86:$P$86*(1+$A185)^$G$128:$P$128)-($F$86:$O$86*(1+$A185)^($G$128:$P$128-1)))*$B$18)*$G$130:$P$130)+((($P$86*(1+$A185)^$P$128)*($P$102+E$184)*(1-$P$68)+$P$99-$P$99*$B$17-($P$86*(1+$A185)^$P$128)*$G$69*$B$18)*(1+$G$69)/($G$70-$G$69))/(1+$G$70)^$P$129+$B$15)/$B$11*(1+$G$70)^$B$19</f>
        <v>90.0126059002694</v>
      </c>
      <c r="F185" s="70" t="n">
        <f aca="false">(SUMPRODUCT(($G$86:$P$86*(1+$A185)^$G$128:$P$128*($G$102:$P$102+F$184)*(1-$G$68:$P$68)+$G$99:$P$99-$G$111:$P$111-(($G$86:$P$86*(1+$A185)^$G$128:$P$128)-($F$86:$O$86*(1+$A185)^($G$128:$P$128-1)))*$B$18)*$G$130:$P$130)+((($P$86*(1+$A185)^$P$128)*($P$102+F$184)*(1-$P$68)+$P$99-$P$99*$B$17-($P$86*(1+$A185)^$P$128)*$G$69*$B$18)*(1+$G$69)/($G$70-$G$69))/(1+$G$70)^$P$129+$B$15)/$B$11*(1+$G$70)^$B$19</f>
        <v>103.198450845282</v>
      </c>
    </row>
    <row r="186" customFormat="false" ht="15" hidden="false" customHeight="true" outlineLevel="0" collapsed="false">
      <c r="A186" s="74" t="n">
        <v>-0.02</v>
      </c>
      <c r="B186" s="59" t="n">
        <f aca="false">(SUMPRODUCT(($G$86:$P$86*(1+$A186)^$G$128:$P$128*($G$102:$P$102+B$184)*(1-$G$68:$P$68)+$G$99:$P$99-$G$111:$P$111-(($G$86:$P$86*(1+$A186)^$G$128:$P$128)-($F$86:$O$86*(1+$A186)^($G$128:$P$128-1)))*$B$18)*$G$130:$P$130)+((($P$86*(1+$A186)^$P$128)*($P$102+B$184)*(1-$P$68)+$P$99-$P$99*$B$17-($P$86*(1+$A186)^$P$128)*$G$69*$B$18)*(1+$G$69)/($G$70-$G$69))/(1+$G$70)^$P$129+$B$15)/$B$11*(1+$G$70)^$B$19</f>
        <v>74.9394482282385</v>
      </c>
      <c r="C186" s="59" t="n">
        <f aca="false">(SUMPRODUCT(($G$86:$P$86*(1+$A186)^$G$128:$P$128*($G$102:$P$102+C$184)*(1-$G$68:$P$68)+$G$99:$P$99-$G$111:$P$111-(($G$86:$P$86*(1+$A186)^$G$128:$P$128)-($F$86:$O$86*(1+$A186)^($G$128:$P$128-1)))*$B$18)*$G$130:$P$130)+((($P$86*(1+$A186)^$P$128)*($P$102+C$184)*(1-$P$68)+$P$99-$P$99*$B$17-($P$86*(1+$A186)^$P$128)*$G$69*$B$18)*(1+$G$69)/($G$70-$G$69))/(1+$G$70)^$P$129+$B$15)/$B$11*(1+$G$70)^$B$19</f>
        <v>90.4914646510255</v>
      </c>
      <c r="D186" s="59" t="n">
        <f aca="false">(SUMPRODUCT(($G$86:$P$86*(1+$A186)^$G$128:$P$128*($G$102:$P$102+D$184)*(1-$G$68:$P$68)+$G$99:$P$99-$G$111:$P$111-(($G$86:$P$86*(1+$A186)^$G$128:$P$128)-($F$86:$O$86*(1+$A186)^($G$128:$P$128-1)))*$B$18)*$G$130:$P$130)+((($P$86*(1+$A186)^$P$128)*($P$102+D$184)*(1-$P$68)+$P$99-$P$99*$B$17-($P$86*(1+$A186)^$P$128)*$G$69*$B$18)*(1+$G$69)/($G$70-$G$69))/(1+$G$70)^$P$129+$B$15)/$B$11*(1+$G$70)^$B$19</f>
        <v>106.043481073813</v>
      </c>
      <c r="E186" s="59" t="n">
        <f aca="false">(SUMPRODUCT(($G$86:$P$86*(1+$A186)^$G$128:$P$128*($G$102:$P$102+E$184)*(1-$G$68:$P$68)+$G$99:$P$99-$G$111:$P$111-(($G$86:$P$86*(1+$A186)^$G$128:$P$128)-($F$86:$O$86*(1+$A186)^($G$128:$P$128-1)))*$B$18)*$G$130:$P$130)+((($P$86*(1+$A186)^$P$128)*($P$102+E$184)*(1-$P$68)+$P$99-$P$99*$B$17-($P$86*(1+$A186)^$P$128)*$G$69*$B$18)*(1+$G$69)/($G$70-$G$69))/(1+$G$70)^$P$129+$B$15)/$B$11*(1+$G$70)^$B$19</f>
        <v>121.5954974966</v>
      </c>
      <c r="F186" s="70" t="n">
        <f aca="false">(SUMPRODUCT(($G$86:$P$86*(1+$A186)^$G$128:$P$128*($G$102:$P$102+F$184)*(1-$G$68:$P$68)+$G$99:$P$99-$G$111:$P$111-(($G$86:$P$86*(1+$A186)^$G$128:$P$128)-($F$86:$O$86*(1+$A186)^($G$128:$P$128-1)))*$B$18)*$G$130:$P$130)+((($P$86*(1+$A186)^$P$128)*($P$102+F$184)*(1-$P$68)+$P$99-$P$99*$B$17-($P$86*(1+$A186)^$P$128)*$G$69*$B$18)*(1+$G$69)/($G$70-$G$69))/(1+$G$70)^$P$129+$B$15)/$B$11*(1+$G$70)^$B$19</f>
        <v>137.147513919387</v>
      </c>
    </row>
    <row r="187" customFormat="false" ht="15" hidden="false" customHeight="true" outlineLevel="0" collapsed="false">
      <c r="A187" s="74" t="n">
        <v>0</v>
      </c>
      <c r="B187" s="59" t="n">
        <f aca="false">(SUMPRODUCT(($G$86:$P$86*(1+$A187)^$G$128:$P$128*($G$102:$P$102+B$184)*(1-$G$68:$P$68)+$G$99:$P$99-$G$111:$P$111-(($G$86:$P$86*(1+$A187)^$G$128:$P$128)-($F$86:$O$86*(1+$A187)^($G$128:$P$128-1)))*$B$18)*$G$130:$P$130)+((($P$86*(1+$A187)^$P$128)*($P$102+B$184)*(1-$P$68)+$P$99-$P$99*$B$17-($P$86*(1+$A187)^$P$128)*$G$69*$B$18)*(1+$G$69)/($G$70-$G$69))/(1+$G$70)^$P$129+$B$15)/$B$11*(1+$G$70)^$B$19</f>
        <v>103.860251244714</v>
      </c>
      <c r="C187" s="59" t="n">
        <f aca="false">(SUMPRODUCT(($G$86:$P$86*(1+$A187)^$G$128:$P$128*($G$102:$P$102+C$184)*(1-$G$68:$P$68)+$G$99:$P$99-$G$111:$P$111-(($G$86:$P$86*(1+$A187)^$G$128:$P$128)-($F$86:$O$86*(1+$A187)^($G$128:$P$128-1)))*$B$18)*$G$130:$P$130)+((($P$86*(1+$A187)^$P$128)*($P$102+C$184)*(1-$P$68)+$P$99-$P$99*$B$17-($P$86*(1+$A187)^$P$128)*$G$69*$B$18)*(1+$G$69)/($G$70-$G$69))/(1+$G$70)^$P$129+$B$15)/$B$11*(1+$G$70)^$B$19</f>
        <v>122.205793630292</v>
      </c>
      <c r="D187" s="57" t="n">
        <f aca="false">(SUMPRODUCT(($G$86:$P$86*(1+$A187)^$G$128:$P$128*($G$102:$P$102+D$184)*(1-$G$68:$P$68)+$G$99:$P$99-$G$111:$P$111-(($G$86:$P$86*(1+$A187)^$G$128:$P$128)-($F$86:$O$86*(1+$A187)^($G$128:$P$128-1)))*$B$18)*$G$130:$P$130)+((($P$86*(1+$A187)^$P$128)*($P$102+D$184)*(1-$P$68)+$P$99-$P$99*$B$17-($P$86*(1+$A187)^$P$128)*$G$69*$B$18)*(1+$G$69)/($G$70-$G$69))/(1+$G$70)^$P$129+$B$15)/$B$11*(1+$G$70)^$B$19</f>
        <v>140.55133601587</v>
      </c>
      <c r="E187" s="59" t="n">
        <f aca="false">(SUMPRODUCT(($G$86:$P$86*(1+$A187)^$G$128:$P$128*($G$102:$P$102+E$184)*(1-$G$68:$P$68)+$G$99:$P$99-$G$111:$P$111-(($G$86:$P$86*(1+$A187)^$G$128:$P$128)-($F$86:$O$86*(1+$A187)^($G$128:$P$128-1)))*$B$18)*$G$130:$P$130)+((($P$86*(1+$A187)^$P$128)*($P$102+E$184)*(1-$P$68)+$P$99-$P$99*$B$17-($P$86*(1+$A187)^$P$128)*$G$69*$B$18)*(1+$G$69)/($G$70-$G$69))/(1+$G$70)^$P$129+$B$15)/$B$11*(1+$G$70)^$B$19</f>
        <v>158.896878401447</v>
      </c>
      <c r="F187" s="70" t="n">
        <f aca="false">(SUMPRODUCT(($G$86:$P$86*(1+$A187)^$G$128:$P$128*($G$102:$P$102+F$184)*(1-$G$68:$P$68)+$G$99:$P$99-$G$111:$P$111-(($G$86:$P$86*(1+$A187)^$G$128:$P$128)-($F$86:$O$86*(1+$A187)^($G$128:$P$128-1)))*$B$18)*$G$130:$P$130)+((($P$86*(1+$A187)^$P$128)*($P$102+F$184)*(1-$P$68)+$P$99-$P$99*$B$17-($P$86*(1+$A187)^$P$128)*$G$69*$B$18)*(1+$G$69)/($G$70-$G$69))/(1+$G$70)^$P$129+$B$15)/$B$11*(1+$G$70)^$B$19</f>
        <v>177.242420787025</v>
      </c>
    </row>
    <row r="188" customFormat="false" ht="15" hidden="false" customHeight="true" outlineLevel="0" collapsed="false">
      <c r="A188" s="74" t="n">
        <v>0.02</v>
      </c>
      <c r="B188" s="59" t="n">
        <f aca="false">(SUMPRODUCT(($G$86:$P$86*(1+$A188)^$G$128:$P$128*($G$102:$P$102+B$184)*(1-$G$68:$P$68)+$G$99:$P$99-$G$111:$P$111-(($G$86:$P$86*(1+$A188)^$G$128:$P$128)-($F$86:$O$86*(1+$A188)^($G$128:$P$128-1)))*$B$18)*$G$130:$P$130)+((($P$86*(1+$A188)^$P$128)*($P$102+B$184)*(1-$P$68)+$P$99-$P$99*$B$17-($P$86*(1+$A188)^$P$128)*$G$69*$B$18)*(1+$G$69)/($G$70-$G$69))/(1+$G$70)^$P$129+$B$15)/$B$11*(1+$G$70)^$B$19</f>
        <v>137.957147675981</v>
      </c>
      <c r="C188" s="59" t="n">
        <f aca="false">(SUMPRODUCT(($G$86:$P$86*(1+$A188)^$G$128:$P$128*($G$102:$P$102+C$184)*(1-$G$68:$P$68)+$G$99:$P$99-$G$111:$P$111-(($G$86:$P$86*(1+$A188)^$G$128:$P$128)-($F$86:$O$86*(1+$A188)^($G$128:$P$128-1)))*$B$18)*$G$130:$P$130)+((($P$86*(1+$A188)^$P$128)*($P$102+C$184)*(1-$P$68)+$P$99-$P$99*$B$17-($P$86*(1+$A188)^$P$128)*$G$69*$B$18)*(1+$G$69)/($G$70-$G$69))/(1+$G$70)^$P$129+$B$15)/$B$11*(1+$G$70)^$B$19</f>
        <v>159.59441481592</v>
      </c>
      <c r="D188" s="59" t="n">
        <f aca="false">(SUMPRODUCT(($G$86:$P$86*(1+$A188)^$G$128:$P$128*($G$102:$P$102+D$184)*(1-$G$68:$P$68)+$G$99:$P$99-$G$111:$P$111-(($G$86:$P$86*(1+$A188)^$G$128:$P$128)-($F$86:$O$86*(1+$A188)^($G$128:$P$128-1)))*$B$18)*$G$130:$P$130)+((($P$86*(1+$A188)^$P$128)*($P$102+D$184)*(1-$P$68)+$P$99-$P$99*$B$17-($P$86*(1+$A188)^$P$128)*$G$69*$B$18)*(1+$G$69)/($G$70-$G$69))/(1+$G$70)^$P$129+$B$15)/$B$11*(1+$G$70)^$B$19</f>
        <v>181.231681955859</v>
      </c>
      <c r="E188" s="59" t="n">
        <f aca="false">(SUMPRODUCT(($G$86:$P$86*(1+$A188)^$G$128:$P$128*($G$102:$P$102+E$184)*(1-$G$68:$P$68)+$G$99:$P$99-$G$111:$P$111-(($G$86:$P$86*(1+$A188)^$G$128:$P$128)-($F$86:$O$86*(1+$A188)^($G$128:$P$128-1)))*$B$18)*$G$130:$P$130)+((($P$86*(1+$A188)^$P$128)*($P$102+E$184)*(1-$P$68)+$P$99-$P$99*$B$17-($P$86*(1+$A188)^$P$128)*$G$69*$B$18)*(1+$G$69)/($G$70-$G$69))/(1+$G$70)^$P$129+$B$15)/$B$11*(1+$G$70)^$B$19</f>
        <v>202.868949095798</v>
      </c>
      <c r="F188" s="70" t="n">
        <f aca="false">(SUMPRODUCT(($G$86:$P$86*(1+$A188)^$G$128:$P$128*($G$102:$P$102+F$184)*(1-$G$68:$P$68)+$G$99:$P$99-$G$111:$P$111-(($G$86:$P$86*(1+$A188)^$G$128:$P$128)-($F$86:$O$86*(1+$A188)^($G$128:$P$128-1)))*$B$18)*$G$130:$P$130)+((($P$86*(1+$A188)^$P$128)*($P$102+F$184)*(1-$P$68)+$P$99-$P$99*$B$17-($P$86*(1+$A188)^$P$128)*$G$69*$B$18)*(1+$G$69)/($G$70-$G$69))/(1+$G$70)^$P$129+$B$15)/$B$11*(1+$G$70)^$B$19</f>
        <v>224.506216235737</v>
      </c>
    </row>
    <row r="189" customFormat="false" ht="15" hidden="false" customHeight="true" outlineLevel="0" collapsed="false">
      <c r="A189" s="75" t="n">
        <v>0.04</v>
      </c>
      <c r="B189" s="72" t="n">
        <f aca="false">(SUMPRODUCT(($G$86:$P$86*(1+$A189)^$G$128:$P$128*($G$102:$P$102+B$184)*(1-$G$68:$P$68)+$G$99:$P$99-$G$111:$P$111-(($G$86:$P$86*(1+$A189)^$G$128:$P$128)-($F$86:$O$86*(1+$A189)^($G$128:$P$128-1)))*$B$18)*$G$130:$P$130)+((($P$86*(1+$A189)^$P$128)*($P$102+B$184)*(1-$P$68)+$P$99-$P$99*$B$17-($P$86*(1+$A189)^$P$128)*$G$69*$B$18)*(1+$G$69)/($G$70-$G$69))/(1+$G$70)^$P$129+$B$15)/$B$11*(1+$G$70)^$B$19</f>
        <v>178.077660347334</v>
      </c>
      <c r="C189" s="72" t="n">
        <f aca="false">(SUMPRODUCT(($G$86:$P$86*(1+$A189)^$G$128:$P$128*($G$102:$P$102+C$184)*(1-$G$68:$P$68)+$G$99:$P$99-$G$111:$P$111-(($G$86:$P$86*(1+$A189)^$G$128:$P$128)-($F$86:$O$86*(1+$A189)^($G$128:$P$128-1)))*$B$18)*$G$130:$P$130)+((($P$86*(1+$A189)^$P$128)*($P$102+C$184)*(1-$P$68)+$P$99-$P$99*$B$17-($P$86*(1+$A189)^$P$128)*$G$69*$B$18)*(1+$G$69)/($G$70-$G$69))/(1+$G$70)^$P$129+$B$15)/$B$11*(1+$G$70)^$B$19</f>
        <v>203.585985532095</v>
      </c>
      <c r="D189" s="72" t="n">
        <f aca="false">(SUMPRODUCT(($G$86:$P$86*(1+$A189)^$G$128:$P$128*($G$102:$P$102+D$184)*(1-$G$68:$P$68)+$G$99:$P$99-$G$111:$P$111-(($G$86:$P$86*(1+$A189)^$G$128:$P$128)-($F$86:$O$86*(1+$A189)^($G$128:$P$128-1)))*$B$18)*$G$130:$P$130)+((($P$86*(1+$A189)^$P$128)*($P$102+D$184)*(1-$P$68)+$P$99-$P$99*$B$17-($P$86*(1+$A189)^$P$128)*$G$69*$B$18)*(1+$G$69)/($G$70-$G$69))/(1+$G$70)^$P$129+$B$15)/$B$11*(1+$G$70)^$B$19</f>
        <v>229.094310716855</v>
      </c>
      <c r="E189" s="72" t="n">
        <f aca="false">(SUMPRODUCT(($G$86:$P$86*(1+$A189)^$G$128:$P$128*($G$102:$P$102+E$184)*(1-$G$68:$P$68)+$G$99:$P$99-$G$111:$P$111-(($G$86:$P$86*(1+$A189)^$G$128:$P$128)-($F$86:$O$86*(1+$A189)^($G$128:$P$128-1)))*$B$18)*$G$130:$P$130)+((($P$86*(1+$A189)^$P$128)*($P$102+E$184)*(1-$P$68)+$P$99-$P$99*$B$17-($P$86*(1+$A189)^$P$128)*$G$69*$B$18)*(1+$G$69)/($G$70-$G$69))/(1+$G$70)^$P$129+$B$15)/$B$11*(1+$G$70)^$B$19</f>
        <v>254.602635901615</v>
      </c>
      <c r="F189" s="73" t="n">
        <f aca="false">(SUMPRODUCT(($G$86:$P$86*(1+$A189)^$G$128:$P$128*($G$102:$P$102+F$184)*(1-$G$68:$P$68)+$G$99:$P$99-$G$111:$P$111-(($G$86:$P$86*(1+$A189)^$G$128:$P$128)-($F$86:$O$86*(1+$A189)^($G$128:$P$128-1)))*$B$18)*$G$130:$P$130)+((($P$86*(1+$A189)^$P$128)*($P$102+F$184)*(1-$P$68)+$P$99-$P$99*$B$17-($P$86*(1+$A189)^$P$128)*$G$69*$B$18)*(1+$G$69)/($G$70-$G$69))/(1+$G$70)^$P$129+$B$15)/$B$11*(1+$G$70)^$B$19</f>
        <v>280.110961086376</v>
      </c>
    </row>
    <row r="192" customFormat="false" ht="15" hidden="false" customHeight="true" outlineLevel="0" collapsed="false">
      <c r="A192" s="63" t="s">
        <v>137</v>
      </c>
      <c r="B192" s="64"/>
      <c r="C192" s="64"/>
      <c r="D192" s="64"/>
      <c r="E192" s="64"/>
      <c r="F192" s="65"/>
      <c r="G192" s="76"/>
      <c r="H192" s="77" t="s">
        <v>138</v>
      </c>
      <c r="I192" s="64"/>
      <c r="J192" s="64"/>
      <c r="K192" s="64"/>
      <c r="L192" s="65"/>
    </row>
    <row r="193" customFormat="false" ht="15" hidden="false" customHeight="true" outlineLevel="0" collapsed="false">
      <c r="A193" s="66" t="s">
        <v>139</v>
      </c>
      <c r="B193" s="78" t="n">
        <f aca="false">WACC!$B$5-0.01</f>
        <v>0.0377</v>
      </c>
      <c r="C193" s="78" t="n">
        <f aca="false">WACC!$B$5-0.005</f>
        <v>0.0427</v>
      </c>
      <c r="D193" s="78" t="n">
        <f aca="false">WACC!$B$5</f>
        <v>0.0477</v>
      </c>
      <c r="E193" s="78" t="n">
        <f aca="false">WACC!$B$5+0.005</f>
        <v>0.0527</v>
      </c>
      <c r="F193" s="79" t="n">
        <f aca="false">WACC!$B$5+0.01</f>
        <v>0.0577</v>
      </c>
      <c r="G193" s="41"/>
      <c r="H193" s="78" t="n">
        <f aca="false">WACC!$B$5-0.01</f>
        <v>0.0377</v>
      </c>
      <c r="I193" s="78" t="n">
        <f aca="false">WACC!$B$5-0.005</f>
        <v>0.0427</v>
      </c>
      <c r="J193" s="78" t="n">
        <f aca="false">WACC!$B$5</f>
        <v>0.0477</v>
      </c>
      <c r="K193" s="78" t="n">
        <f aca="false">WACC!$B$5+0.005</f>
        <v>0.0527</v>
      </c>
      <c r="L193" s="79" t="n">
        <f aca="false">WACC!$B$5+0.01</f>
        <v>0.0577</v>
      </c>
    </row>
    <row r="194" customFormat="false" ht="15" hidden="false" customHeight="true" outlineLevel="0" collapsed="false">
      <c r="A194" s="80" t="n">
        <f aca="false">WACC!$B$6-0.3</f>
        <v>0.94</v>
      </c>
      <c r="B194" s="59" t="n">
        <f aca="false">(SUMPRODUCT($G$127:$P$127,1/(1+H194)^$G$129:$P$129)+(($P$106+$P$99-$P$99*$B$17-$P$86*$G$69*$B$18)*(1+$G$69)/(H194-$G$69))/(1+H194)^$P$129+$B$15)/$B$11*(1+H194)^$B$19</f>
        <v>152.215492378608</v>
      </c>
      <c r="C194" s="59" t="n">
        <f aca="false">(SUMPRODUCT($G$127:$P$127,1/(1+I194)^$G$129:$P$129)+(($P$106+$P$99-$P$99*$B$17-$P$86*$G$69*$B$18)*(1+$G$69)/(I194-$G$69))/(1+I194)^$P$129+$B$15)/$B$11*(1+I194)^$B$19</f>
        <v>136.61677347214</v>
      </c>
      <c r="D194" s="59" t="n">
        <f aca="false">(SUMPRODUCT($G$127:$P$127,1/(1+J194)^$G$129:$P$129)+(($P$106+$P$99-$P$99*$B$17-$P$86*$G$69*$B$18)*(1+$G$69)/(J194-$G$69))/(1+J194)^$P$129+$B$15)/$B$11*(1+J194)^$B$19</f>
        <v>123.37180111968</v>
      </c>
      <c r="E194" s="59" t="n">
        <f aca="false">(SUMPRODUCT($G$127:$P$127,1/(1+K194)^$G$129:$P$129)+(($P$106+$P$99-$P$99*$B$17-$P$86*$G$69*$B$18)*(1+$G$69)/(K194-$G$69))/(1+K194)^$P$129+$B$15)/$B$11*(1+K194)^$B$19</f>
        <v>112.003336778237</v>
      </c>
      <c r="F194" s="70" t="n">
        <f aca="false">(SUMPRODUCT($G$127:$P$127,1/(1+L194)^$G$129:$P$129)+(($P$106+$P$99-$P$99*$B$17-$P$86*$G$69*$B$18)*(1+$G$69)/(L194-$G$69))/(1+L194)^$P$129+$B$15)/$B$11*(1+L194)^$B$19</f>
        <v>102.154282557418</v>
      </c>
      <c r="G194" s="80" t="n">
        <f aca="false">WACC!$B$6-0.3</f>
        <v>0.94</v>
      </c>
      <c r="H194" s="55" t="n">
        <f aca="false">(H$193+$A194*WACC!$B$7)*WACC!$B$28+WACC!$B$14*WACC!$B$29</f>
        <v>0.0888831059627853</v>
      </c>
      <c r="I194" s="55" t="n">
        <f aca="false">(I$193+$A194*WACC!$B$7)*WACC!$B$28+WACC!$B$14*WACC!$B$29</f>
        <v>0.0938279705988158</v>
      </c>
      <c r="J194" s="55" t="n">
        <f aca="false">(J$193+$A194*WACC!$B$7)*WACC!$B$28+WACC!$B$14*WACC!$B$29</f>
        <v>0.0987728352348462</v>
      </c>
      <c r="K194" s="55" t="n">
        <f aca="false">(K$193+$A194*WACC!$B$7)*WACC!$B$28+WACC!$B$14*WACC!$B$29</f>
        <v>0.103717699870877</v>
      </c>
      <c r="L194" s="81" t="n">
        <f aca="false">(L$193+$A194*WACC!$B$7)*WACC!$B$28+WACC!$B$14*WACC!$B$29</f>
        <v>0.108662564506907</v>
      </c>
    </row>
    <row r="195" customFormat="false" ht="15" hidden="false" customHeight="true" outlineLevel="0" collapsed="false">
      <c r="A195" s="80" t="n">
        <f aca="false">WACC!$B$6-0.15</f>
        <v>1.09</v>
      </c>
      <c r="B195" s="59" t="n">
        <f aca="false">(SUMPRODUCT($G$127:$P$127,1/(1+H195)^$G$129:$P$129)+(($P$106+$P$99-$P$99*$B$17-$P$86*$G$69*$B$18)*(1+$G$69)/(H195-$G$69))/(1+H195)^$P$129+$B$15)/$B$11*(1+H195)^$B$19</f>
        <v>127.77263653608</v>
      </c>
      <c r="C195" s="59" t="n">
        <f aca="false">(SUMPRODUCT($G$127:$P$127,1/(1+I195)^$G$129:$P$129)+(($P$106+$P$99-$P$99*$B$17-$P$86*$G$69*$B$18)*(1+$G$69)/(I195-$G$69))/(1+I195)^$P$129+$B$15)/$B$11*(1+I195)^$B$19</f>
        <v>115.79326234752</v>
      </c>
      <c r="D195" s="59" t="n">
        <f aca="false">(SUMPRODUCT($G$127:$P$127,1/(1+J195)^$G$129:$P$129)+(($P$106+$P$99-$P$99*$B$17-$P$86*$G$69*$B$18)*(1+$G$69)/(J195-$G$69))/(1+J195)^$P$129+$B$15)/$B$11*(1+J195)^$B$19</f>
        <v>105.447148468429</v>
      </c>
      <c r="E195" s="59" t="n">
        <f aca="false">(SUMPRODUCT($G$127:$P$127,1/(1+K195)^$G$129:$P$129)+(($P$106+$P$99-$P$99*$B$17-$P$86*$G$69*$B$18)*(1+$G$69)/(K195-$G$69))/(1+K195)^$P$129+$B$15)/$B$11*(1+K195)^$B$19</f>
        <v>96.4353716715584</v>
      </c>
      <c r="F195" s="70" t="n">
        <f aca="false">(SUMPRODUCT($G$127:$P$127,1/(1+L195)^$G$129:$P$129)+(($P$106+$P$99-$P$99*$B$17-$P$86*$G$69*$B$18)*(1+$G$69)/(L195-$G$69))/(1+L195)^$P$129+$B$15)/$B$11*(1+L195)^$B$19</f>
        <v>88.5272260685794</v>
      </c>
      <c r="G195" s="80" t="n">
        <f aca="false">WACC!$B$6-0.15</f>
        <v>1.09</v>
      </c>
      <c r="H195" s="55" t="n">
        <f aca="false">(H$193+$A195*WACC!$B$7)*WACC!$B$28+WACC!$B$14*WACC!$B$29</f>
        <v>0.0970421326122355</v>
      </c>
      <c r="I195" s="55" t="n">
        <f aca="false">(I$193+$A195*WACC!$B$7)*WACC!$B$28+WACC!$B$14*WACC!$B$29</f>
        <v>0.101986997248266</v>
      </c>
      <c r="J195" s="55" t="n">
        <f aca="false">(J$193+$A195*WACC!$B$7)*WACC!$B$28+WACC!$B$14*WACC!$B$29</f>
        <v>0.106931861884296</v>
      </c>
      <c r="K195" s="55" t="n">
        <f aca="false">(K$193+$A195*WACC!$B$7)*WACC!$B$28+WACC!$B$14*WACC!$B$29</f>
        <v>0.111876726520327</v>
      </c>
      <c r="L195" s="81" t="n">
        <f aca="false">(L$193+$A195*WACC!$B$7)*WACC!$B$28+WACC!$B$14*WACC!$B$29</f>
        <v>0.116821591156357</v>
      </c>
    </row>
    <row r="196" customFormat="false" ht="15" hidden="false" customHeight="true" outlineLevel="0" collapsed="false">
      <c r="A196" s="80" t="n">
        <f aca="false">WACC!$B$6</f>
        <v>1.24</v>
      </c>
      <c r="B196" s="59" t="n">
        <f aca="false">(SUMPRODUCT($G$127:$P$127,1/(1+H196)^$G$129:$P$129)+(($P$106+$P$99-$P$99*$B$17-$P$86*$G$69*$B$18)*(1+$G$69)/(H196-$G$69))/(1+H196)^$P$129+$B$15)/$B$11*(1+H196)^$B$19</f>
        <v>108.902869391259</v>
      </c>
      <c r="C196" s="59" t="n">
        <f aca="false">(SUMPRODUCT($G$127:$P$127,1/(1+I196)^$G$129:$P$129)+(($P$106+$P$99-$P$99*$B$17-$P$86*$G$69*$B$18)*(1+$G$69)/(I196-$G$69))/(1+I196)^$P$129+$B$15)/$B$11*(1+I196)^$B$19</f>
        <v>99.4533510688865</v>
      </c>
      <c r="D196" s="57" t="n">
        <f aca="false">(SUMPRODUCT($G$127:$P$127,1/(1+J196)^$G$129:$P$129)+(($P$106+$P$99-$P$99*$B$17-$P$86*$G$69*$B$18)*(1+$G$69)/(J196-$G$69))/(1+J196)^$P$129+$B$15)/$B$11*(1+J196)^$B$19</f>
        <v>91.1817449772464</v>
      </c>
      <c r="E196" s="59" t="n">
        <f aca="false">(SUMPRODUCT($G$127:$P$127,1/(1+K196)^$G$129:$P$129)+(($P$106+$P$99-$P$99*$B$17-$P$86*$G$69*$B$18)*(1+$G$69)/(K196-$G$69))/(1+K196)^$P$129+$B$15)/$B$11*(1+K196)^$B$19</f>
        <v>83.8914249613877</v>
      </c>
      <c r="F196" s="70" t="n">
        <f aca="false">(SUMPRODUCT($G$127:$P$127,1/(1+L196)^$G$129:$P$129)+(($P$106+$P$99-$P$99*$B$17-$P$86*$G$69*$B$18)*(1+$G$69)/(L196-$G$69))/(1+L196)^$P$129+$B$15)/$B$11*(1+L196)^$B$19</f>
        <v>77.4268108904599</v>
      </c>
      <c r="G196" s="80" t="n">
        <f aca="false">WACC!$B$6</f>
        <v>1.24</v>
      </c>
      <c r="H196" s="55" t="n">
        <f aca="false">(H$193+$A196*WACC!$B$7)*WACC!$B$28+WACC!$B$14*WACC!$B$29</f>
        <v>0.105201159261686</v>
      </c>
      <c r="I196" s="55" t="n">
        <f aca="false">(I$193+$A196*WACC!$B$7)*WACC!$B$28+WACC!$B$14*WACC!$B$29</f>
        <v>0.110146023897716</v>
      </c>
      <c r="J196" s="55" t="n">
        <f aca="false">(J$193+$A196*WACC!$B$7)*WACC!$B$28+WACC!$B$14*WACC!$B$29</f>
        <v>0.115090888533747</v>
      </c>
      <c r="K196" s="55" t="n">
        <f aca="false">(K$193+$A196*WACC!$B$7)*WACC!$B$28+WACC!$B$14*WACC!$B$29</f>
        <v>0.120035753169777</v>
      </c>
      <c r="L196" s="81" t="n">
        <f aca="false">(L$193+$A196*WACC!$B$7)*WACC!$B$28+WACC!$B$14*WACC!$B$29</f>
        <v>0.124980617805808</v>
      </c>
    </row>
    <row r="197" customFormat="false" ht="15" hidden="false" customHeight="true" outlineLevel="0" collapsed="false">
      <c r="A197" s="80" t="n">
        <f aca="false">WACC!$B$6+0.15</f>
        <v>1.39</v>
      </c>
      <c r="B197" s="59" t="n">
        <f aca="false">(SUMPRODUCT($G$127:$P$127,1/(1+H197)^$G$129:$P$129)+(($P$106+$P$99-$P$99*$B$17-$P$86*$G$69*$B$18)*(1+$G$69)/(H197-$G$69))/(1+H197)^$P$129+$B$15)/$B$11*(1+H197)^$B$19</f>
        <v>93.9561085667603</v>
      </c>
      <c r="C197" s="59" t="n">
        <f aca="false">(SUMPRODUCT($G$127:$P$127,1/(1+I197)^$G$129:$P$129)+(($P$106+$P$99-$P$99*$B$17-$P$86*$G$69*$B$18)*(1+$G$69)/(I197-$G$69))/(1+I197)^$P$129+$B$15)/$B$11*(1+I197)^$B$19</f>
        <v>86.3418871714667</v>
      </c>
      <c r="D197" s="59" t="n">
        <f aca="false">(SUMPRODUCT($G$127:$P$127,1/(1+J197)^$G$129:$P$129)+(($P$106+$P$99-$P$99*$B$17-$P$86*$G$69*$B$18)*(1+$G$69)/(J197-$G$69))/(1+J197)^$P$129+$B$15)/$B$11*(1+J197)^$B$19</f>
        <v>79.6038634125317</v>
      </c>
      <c r="E197" s="59" t="n">
        <f aca="false">(SUMPRODUCT($G$127:$P$127,1/(1+K197)^$G$129:$P$129)+(($P$106+$P$99-$P$99*$B$17-$P$86*$G$69*$B$18)*(1+$G$69)/(K197-$G$69))/(1+K197)^$P$129+$B$15)/$B$11*(1+K197)^$B$19</f>
        <v>73.6074856502056</v>
      </c>
      <c r="F197" s="70" t="n">
        <f aca="false">(SUMPRODUCT($G$127:$P$127,1/(1+L197)^$G$129:$P$129)+(($P$106+$P$99-$P$99*$B$17-$P$86*$G$69*$B$18)*(1+$G$69)/(L197-$G$69))/(1+L197)^$P$129+$B$15)/$B$11*(1+L197)^$B$19</f>
        <v>68.2440900804553</v>
      </c>
      <c r="G197" s="80" t="n">
        <f aca="false">WACC!$B$6+0.15</f>
        <v>1.39</v>
      </c>
      <c r="H197" s="55" t="n">
        <f aca="false">(H$193+$A197*WACC!$B$7)*WACC!$B$28+WACC!$B$14*WACC!$B$29</f>
        <v>0.113360185911136</v>
      </c>
      <c r="I197" s="55" t="n">
        <f aca="false">(I$193+$A197*WACC!$B$7)*WACC!$B$28+WACC!$B$14*WACC!$B$29</f>
        <v>0.118305050547166</v>
      </c>
      <c r="J197" s="55" t="n">
        <f aca="false">(J$193+$A197*WACC!$B$7)*WACC!$B$28+WACC!$B$14*WACC!$B$29</f>
        <v>0.123249915183197</v>
      </c>
      <c r="K197" s="55" t="n">
        <f aca="false">(K$193+$A197*WACC!$B$7)*WACC!$B$28+WACC!$B$14*WACC!$B$29</f>
        <v>0.128194779819227</v>
      </c>
      <c r="L197" s="81" t="n">
        <f aca="false">(L$193+$A197*WACC!$B$7)*WACC!$B$28+WACC!$B$14*WACC!$B$29</f>
        <v>0.133139644455258</v>
      </c>
    </row>
    <row r="198" customFormat="false" ht="15" hidden="false" customHeight="true" outlineLevel="0" collapsed="false">
      <c r="A198" s="82" t="n">
        <f aca="false">WACC!$B$6+0.3</f>
        <v>1.54</v>
      </c>
      <c r="B198" s="72" t="n">
        <f aca="false">(SUMPRODUCT($G$127:$P$127,1/(1+H198)^$G$129:$P$129)+(($P$106+$P$99-$P$99*$B$17-$P$86*$G$69*$B$18)*(1+$G$69)/(H198-$G$69))/(1+H198)^$P$129+$B$15)/$B$11*(1+H198)^$B$19</f>
        <v>81.8715382020819</v>
      </c>
      <c r="C198" s="72" t="n">
        <f aca="false">(SUMPRODUCT($G$127:$P$127,1/(1+I198)^$G$129:$P$129)+(($P$106+$P$99-$P$99*$B$17-$P$86*$G$69*$B$18)*(1+$G$69)/(I198-$G$69))/(1+I198)^$P$129+$B$15)/$B$11*(1+I198)^$B$19</f>
        <v>75.6291262302643</v>
      </c>
      <c r="D198" s="72" t="n">
        <f aca="false">(SUMPRODUCT($G$127:$P$127,1/(1+J198)^$G$129:$P$129)+(($P$106+$P$99-$P$99*$B$17-$P$86*$G$69*$B$18)*(1+$G$69)/(J198-$G$69))/(1+J198)^$P$129+$B$15)/$B$11*(1+J198)^$B$19</f>
        <v>70.0551931870333</v>
      </c>
      <c r="E198" s="72" t="n">
        <f aca="false">(SUMPRODUCT($G$127:$P$127,1/(1+K198)^$G$129:$P$129)+(($P$106+$P$99-$P$99*$B$17-$P$86*$G$69*$B$18)*(1+$G$69)/(K198-$G$69))/(1+K198)^$P$129+$B$15)/$B$11*(1+K198)^$B$19</f>
        <v>65.0546159831914</v>
      </c>
      <c r="F198" s="73" t="n">
        <f aca="false">(SUMPRODUCT($G$127:$P$127,1/(1+L198)^$G$129:$P$129)+(($P$106+$P$99-$P$99*$B$17-$P$86*$G$69*$B$18)*(1+$G$69)/(L198-$G$69))/(1+L198)^$P$129+$B$15)/$B$11*(1+L198)^$B$19</f>
        <v>60.5492486650783</v>
      </c>
      <c r="G198" s="82" t="n">
        <f aca="false">WACC!$B$6+0.3</f>
        <v>1.54</v>
      </c>
      <c r="H198" s="83" t="n">
        <f aca="false">(H$193+$A198*WACC!$B$7)*WACC!$B$28+WACC!$B$14*WACC!$B$29</f>
        <v>0.121519212560586</v>
      </c>
      <c r="I198" s="83" t="n">
        <f aca="false">(I$193+$A198*WACC!$B$7)*WACC!$B$28+WACC!$B$14*WACC!$B$29</f>
        <v>0.126464077196617</v>
      </c>
      <c r="J198" s="83" t="n">
        <f aca="false">(J$193+$A198*WACC!$B$7)*WACC!$B$28+WACC!$B$14*WACC!$B$29</f>
        <v>0.131408941832647</v>
      </c>
      <c r="K198" s="83" t="n">
        <f aca="false">(K$193+$A198*WACC!$B$7)*WACC!$B$28+WACC!$B$14*WACC!$B$29</f>
        <v>0.136353806468677</v>
      </c>
      <c r="L198" s="84" t="n">
        <f aca="false">(L$193+$A198*WACC!$B$7)*WACC!$B$28+WACC!$B$14*WACC!$B$29</f>
        <v>0.141298671104708</v>
      </c>
    </row>
    <row r="199" customFormat="false" ht="15" hidden="false" customHeight="true" outlineLevel="0" collapsed="false">
      <c r="A199" s="4" t="s">
        <v>140</v>
      </c>
    </row>
  </sheetData>
  <mergeCells count="15">
    <mergeCell ref="A6:D6"/>
    <mergeCell ref="A9:D9"/>
    <mergeCell ref="A20:P20"/>
    <mergeCell ref="A33:P33"/>
    <mergeCell ref="A46:P46"/>
    <mergeCell ref="A59:P59"/>
    <mergeCell ref="A72:F72"/>
    <mergeCell ref="A84:P84"/>
    <mergeCell ref="A107:P107"/>
    <mergeCell ref="A117:P117"/>
    <mergeCell ref="A125:P125"/>
    <mergeCell ref="A133:F133"/>
    <mergeCell ref="A146:F146"/>
    <mergeCell ref="A159:F159"/>
    <mergeCell ref="A171:P171"/>
  </mergeCells>
  <conditionalFormatting sqref="B176:F180">
    <cfRule type="colorScale" priority="2">
      <colorScale>
        <cfvo type="min" val="0"/>
        <cfvo type="percentile" val="50"/>
        <cfvo type="max" val="0"/>
        <color rgb="FFF8CBAD"/>
        <color rgb="FFFFFFFF"/>
        <color rgb="FF9DC3E6"/>
      </colorScale>
    </cfRule>
  </conditionalFormatting>
  <conditionalFormatting sqref="B185:F189">
    <cfRule type="colorScale" priority="3">
      <colorScale>
        <cfvo type="min" val="0"/>
        <cfvo type="percentile" val="50"/>
        <cfvo type="max" val="0"/>
        <color rgb="FFF8CBAD"/>
        <color rgb="FFFFFFFF"/>
        <color rgb="FF9DC3E6"/>
      </colorScale>
    </cfRule>
  </conditionalFormatting>
  <conditionalFormatting sqref="B194:F198">
    <cfRule type="colorScale" priority="4">
      <colorScale>
        <cfvo type="min" val="0"/>
        <cfvo type="percentile" val="50"/>
        <cfvo type="max" val="0"/>
        <color rgb="FFF8CBAD"/>
        <color rgb="FFFFFFFF"/>
        <color rgb="FF9DC3E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5"/>
  </cols>
  <sheetData>
    <row r="1" customFormat="false" ht="17.25" hidden="false" customHeight="true" outlineLevel="0" collapsed="false">
      <c r="A1" s="2" t="s">
        <v>141</v>
      </c>
    </row>
    <row r="2" customFormat="false" ht="15" hidden="false" customHeight="true" outlineLevel="0" collapsed="false">
      <c r="A2" s="3" t="s">
        <v>142</v>
      </c>
    </row>
    <row r="4" customFormat="false" ht="15" hidden="false" customHeight="true" outlineLevel="0" collapsed="false">
      <c r="A4" s="5" t="s">
        <v>143</v>
      </c>
      <c r="B4" s="5"/>
      <c r="C4" s="5"/>
      <c r="D4" s="5"/>
    </row>
    <row r="5" customFormat="false" ht="15" hidden="false" customHeight="true" outlineLevel="0" collapsed="false">
      <c r="A5" s="10" t="s">
        <v>144</v>
      </c>
      <c r="B5" s="85" t="n">
        <v>0.0477</v>
      </c>
      <c r="D5" s="12"/>
    </row>
    <row r="6" customFormat="false" ht="15" hidden="false" customHeight="true" outlineLevel="0" collapsed="false">
      <c r="A6" s="10" t="s">
        <v>145</v>
      </c>
      <c r="B6" s="86" t="n">
        <v>1.24</v>
      </c>
      <c r="D6" s="12"/>
    </row>
    <row r="7" customFormat="false" ht="15" hidden="false" customHeight="true" outlineLevel="0" collapsed="false">
      <c r="A7" s="10" t="s">
        <v>146</v>
      </c>
      <c r="B7" s="85" t="n">
        <v>0.055</v>
      </c>
      <c r="D7" s="12"/>
    </row>
    <row r="8" customFormat="false" ht="15" hidden="false" customHeight="true" outlineLevel="0" collapsed="false">
      <c r="A8" s="33" t="s">
        <v>147</v>
      </c>
      <c r="B8" s="34" t="n">
        <f aca="false">B5+B6*B7</f>
        <v>0.1159</v>
      </c>
      <c r="C8" s="20"/>
      <c r="D8" s="9"/>
    </row>
    <row r="10" customFormat="false" ht="15" hidden="false" customHeight="true" outlineLevel="0" collapsed="false">
      <c r="A10" s="5" t="s">
        <v>148</v>
      </c>
      <c r="B10" s="5"/>
      <c r="C10" s="5"/>
      <c r="D10" s="5"/>
    </row>
    <row r="11" customFormat="false" ht="15" hidden="false" customHeight="true" outlineLevel="0" collapsed="false">
      <c r="A11" s="10" t="s">
        <v>149</v>
      </c>
      <c r="B11" s="87" t="s">
        <v>150</v>
      </c>
      <c r="D11" s="12"/>
    </row>
    <row r="12" customFormat="false" ht="15" hidden="false" customHeight="true" outlineLevel="0" collapsed="false">
      <c r="A12" s="10" t="s">
        <v>151</v>
      </c>
      <c r="B12" s="85" t="n">
        <v>0.0525</v>
      </c>
      <c r="D12" s="12"/>
    </row>
    <row r="13" customFormat="false" ht="15" hidden="false" customHeight="true" outlineLevel="0" collapsed="false">
      <c r="A13" s="10" t="s">
        <v>152</v>
      </c>
      <c r="B13" s="88" t="n">
        <f aca="false">DCF!G68</f>
        <v>0.19</v>
      </c>
      <c r="D13" s="12"/>
    </row>
    <row r="14" customFormat="false" ht="15" hidden="false" customHeight="true" outlineLevel="0" collapsed="false">
      <c r="A14" s="33" t="s">
        <v>153</v>
      </c>
      <c r="B14" s="34" t="n">
        <f aca="false">B12*(1-B13)</f>
        <v>0.042525</v>
      </c>
      <c r="C14" s="20"/>
      <c r="D14" s="9"/>
    </row>
    <row r="16" customFormat="false" ht="15" hidden="false" customHeight="true" outlineLevel="0" collapsed="false">
      <c r="A16" s="5" t="s">
        <v>154</v>
      </c>
      <c r="B16" s="5"/>
      <c r="C16" s="5"/>
      <c r="D16" s="5"/>
    </row>
    <row r="17" customFormat="false" ht="15" hidden="false" customHeight="true" outlineLevel="0" collapsed="false">
      <c r="A17" s="10" t="s">
        <v>118</v>
      </c>
      <c r="B17" s="89" t="n">
        <f aca="false">DCF!B10</f>
        <v>335.31</v>
      </c>
      <c r="D17" s="12"/>
    </row>
    <row r="18" customFormat="false" ht="15" hidden="false" customHeight="true" outlineLevel="0" collapsed="false">
      <c r="A18" s="10" t="s">
        <v>114</v>
      </c>
      <c r="B18" s="90" t="n">
        <f aca="false">DCF!B11</f>
        <v>12450</v>
      </c>
      <c r="D18" s="12"/>
    </row>
    <row r="19" customFormat="false" ht="15" hidden="false" customHeight="true" outlineLevel="0" collapsed="false">
      <c r="A19" s="10" t="s">
        <v>155</v>
      </c>
      <c r="B19" s="14" t="n">
        <f aca="false">B17*B18</f>
        <v>4174609.5</v>
      </c>
      <c r="D19" s="12"/>
    </row>
    <row r="20" customFormat="false" ht="15" hidden="false" customHeight="true" outlineLevel="0" collapsed="false">
      <c r="A20" s="10" t="s">
        <v>156</v>
      </c>
      <c r="B20" s="91" t="n">
        <f aca="false">DCF!B14</f>
        <v>46547</v>
      </c>
      <c r="D20" s="12"/>
    </row>
    <row r="21" customFormat="false" ht="15" hidden="false" customHeight="true" outlineLevel="0" collapsed="false">
      <c r="A21" s="10" t="s">
        <v>157</v>
      </c>
      <c r="B21" s="91" t="n">
        <f aca="false">DCF!B13</f>
        <v>126843</v>
      </c>
      <c r="D21" s="12"/>
    </row>
    <row r="22" customFormat="false" ht="15" hidden="false" customHeight="true" outlineLevel="0" collapsed="false">
      <c r="A22" s="10" t="s">
        <v>158</v>
      </c>
      <c r="B22" s="14" t="n">
        <f aca="false">B21-B20</f>
        <v>80296</v>
      </c>
      <c r="D22" s="12"/>
    </row>
    <row r="23" customFormat="false" ht="15" hidden="false" customHeight="true" outlineLevel="0" collapsed="false">
      <c r="A23" s="33" t="s">
        <v>159</v>
      </c>
      <c r="B23" s="39" t="n">
        <f aca="false">B19+B20</f>
        <v>4221156.5</v>
      </c>
      <c r="C23" s="20"/>
      <c r="D23" s="9"/>
    </row>
    <row r="24" customFormat="false" ht="15" hidden="false" customHeight="true" outlineLevel="0" collapsed="false">
      <c r="A24" s="4" t="s">
        <v>160</v>
      </c>
    </row>
    <row r="26" customFormat="false" ht="15" hidden="false" customHeight="true" outlineLevel="0" collapsed="false">
      <c r="A26" s="5" t="s">
        <v>161</v>
      </c>
      <c r="B26" s="5"/>
      <c r="C26" s="5"/>
      <c r="D26" s="5"/>
    </row>
    <row r="27" customFormat="false" ht="15" hidden="false" customHeight="true" outlineLevel="0" collapsed="false">
      <c r="A27" s="21" t="s">
        <v>162</v>
      </c>
      <c r="B27" s="23" t="s">
        <v>163</v>
      </c>
      <c r="C27" s="23" t="s">
        <v>164</v>
      </c>
      <c r="D27" s="24" t="s">
        <v>165</v>
      </c>
    </row>
    <row r="28" customFormat="false" ht="15" hidden="false" customHeight="true" outlineLevel="0" collapsed="false">
      <c r="A28" s="10" t="s">
        <v>166</v>
      </c>
      <c r="B28" s="37" t="n">
        <f aca="false">B19/B23</f>
        <v>0.988972927206087</v>
      </c>
      <c r="C28" s="55" t="n">
        <f aca="false">B8</f>
        <v>0.1159</v>
      </c>
      <c r="D28" s="81" t="n">
        <f aca="false">B28*C28</f>
        <v>0.114621962263185</v>
      </c>
    </row>
    <row r="29" customFormat="false" ht="15" hidden="false" customHeight="true" outlineLevel="0" collapsed="false">
      <c r="A29" s="10" t="s">
        <v>167</v>
      </c>
      <c r="B29" s="37" t="n">
        <f aca="false">B20/B23</f>
        <v>0.0110270727939132</v>
      </c>
      <c r="C29" s="55" t="n">
        <f aca="false">B14</f>
        <v>0.042525</v>
      </c>
      <c r="D29" s="81" t="n">
        <f aca="false">B29*C29</f>
        <v>0.00046892627056116</v>
      </c>
    </row>
    <row r="30" customFormat="false" ht="15" hidden="false" customHeight="true" outlineLevel="0" collapsed="false">
      <c r="A30" s="28" t="s">
        <v>168</v>
      </c>
      <c r="B30" s="29" t="n">
        <f aca="false">B28+B29</f>
        <v>1</v>
      </c>
      <c r="D30" s="92" t="n">
        <f aca="false">D28+D29</f>
        <v>0.115090888533747</v>
      </c>
    </row>
    <row r="31" customFormat="false" ht="15" hidden="false" customHeight="true" outlineLevel="0" collapsed="false">
      <c r="A31" s="33" t="s">
        <v>169</v>
      </c>
      <c r="B31" s="34" t="n">
        <f aca="false">D30</f>
        <v>0.115090888533747</v>
      </c>
      <c r="C31" s="20"/>
      <c r="D31" s="9"/>
    </row>
    <row r="33" customFormat="false" ht="15" hidden="false" customHeight="true" outlineLevel="0" collapsed="false">
      <c r="A33" s="5" t="s">
        <v>170</v>
      </c>
      <c r="B33" s="5"/>
      <c r="C33" s="5"/>
      <c r="D33" s="5"/>
    </row>
    <row r="34" customFormat="false" ht="15" hidden="false" customHeight="true" outlineLevel="0" collapsed="false">
      <c r="A34" s="10" t="s">
        <v>171</v>
      </c>
      <c r="B34" s="93" t="n">
        <v>2</v>
      </c>
      <c r="D34" s="12"/>
    </row>
    <row r="35" customFormat="false" ht="15" hidden="false" customHeight="true" outlineLevel="0" collapsed="false">
      <c r="A35" s="10" t="s">
        <v>172</v>
      </c>
      <c r="B35" s="85" t="n">
        <v>0.0925</v>
      </c>
      <c r="D35" s="12"/>
    </row>
    <row r="36" customFormat="false" ht="15" hidden="false" customHeight="true" outlineLevel="0" collapsed="false">
      <c r="A36" s="33" t="s">
        <v>173</v>
      </c>
      <c r="B36" s="34" t="n">
        <f aca="false">IF(B34=1,B31,B35)</f>
        <v>0.0925</v>
      </c>
      <c r="C36" s="20"/>
      <c r="D36" s="9"/>
    </row>
  </sheetData>
  <mergeCells count="5">
    <mergeCell ref="A4:D4"/>
    <mergeCell ref="A10:D10"/>
    <mergeCell ref="A16:D16"/>
    <mergeCell ref="A26:D26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2026-09-08T06:46:10Z</dcterms:created>
  <dc:creator>openpyxl</dc:creator>
  <dc:description/>
  <dc:language>en-US</dc:language>
  <cp:lastModifiedBy/>
  <dcterms:modified xsi:type="dcterms:W3CDTF">2026-09-08T06:50:00Z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